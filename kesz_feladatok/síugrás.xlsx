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E:\suli\Nemes Tihamer Alkalmazoi\2022-01-29_verseny\kesz_feladatok\"/>
    </mc:Choice>
  </mc:AlternateContent>
  <xr:revisionPtr revIDLastSave="0" documentId="13_ncr:1_{5560F988-8AD7-4A38-BB43-5081E91D04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észvétel" sheetId="3" r:id="rId1"/>
    <sheet name="nemzetenként" sheetId="1" r:id="rId2"/>
    <sheet name="helyszínek" sheetId="2" r:id="rId3"/>
    <sheet name="síugrás" sheetId="4" r:id="rId4"/>
  </sheets>
  <definedNames>
    <definedName name="_xlnm._FilterDatabase" localSheetId="3" hidden="1">síugrás!$A$1:$G$12</definedName>
    <definedName name="_xlnm.Criteria" localSheetId="3">síugrás!$L$15:$M$16</definedName>
    <definedName name="_xlnm.Extract" localSheetId="3">síugrás!$L$18:$R$18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 a="1"/>
  <c r="H4" i="2" s="1"/>
  <c r="C15" i="4"/>
  <c r="C14" i="4"/>
  <c r="L29" i="2" l="1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H5" i="2" l="1"/>
  <c r="G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<sst xmlns="http://schemas.openxmlformats.org/spreadsheetml/2006/main" count="732" uniqueCount="181">
  <si>
    <t>Év</t>
  </si>
  <si>
    <t>Esemény</t>
  </si>
  <si>
    <t>Rendező</t>
  </si>
  <si>
    <t>Város</t>
  </si>
  <si>
    <t>Ország</t>
  </si>
  <si>
    <t>I. téli olimpiai játékok</t>
  </si>
  <si>
    <t>Chamonix</t>
  </si>
  <si>
    <t>Franciaország</t>
  </si>
  <si>
    <t>II. téli olimpiai játékok</t>
  </si>
  <si>
    <t>St. Moritz</t>
  </si>
  <si>
    <t>Svájc</t>
  </si>
  <si>
    <t>III. téli olimpiai játékok</t>
  </si>
  <si>
    <t>Lake Placid</t>
  </si>
  <si>
    <t>USA</t>
  </si>
  <si>
    <t>IV. téli olimpiai játékok</t>
  </si>
  <si>
    <t>Garmisch-Partenkirchen</t>
  </si>
  <si>
    <t>Németország</t>
  </si>
  <si>
    <t>V. téli olimpiai játékok</t>
  </si>
  <si>
    <t>Cortina d’Ampezzo</t>
  </si>
  <si>
    <t>Olaszország</t>
  </si>
  <si>
    <t>VI. téli olimpiai játékok</t>
  </si>
  <si>
    <t>Oslo</t>
  </si>
  <si>
    <t>Norvégia</t>
  </si>
  <si>
    <t>VII. téli olimpiai játékok</t>
  </si>
  <si>
    <t>VIII. téli olimpiai játékok</t>
  </si>
  <si>
    <t>Squaw Valley</t>
  </si>
  <si>
    <t>IX. téli olimpiai játékok</t>
  </si>
  <si>
    <t>Innsbruck</t>
  </si>
  <si>
    <t>Ausztria</t>
  </si>
  <si>
    <t>X. téli olimpiai játékok</t>
  </si>
  <si>
    <t>Grenoble</t>
  </si>
  <si>
    <t>XI. téli olimpiai játékok</t>
  </si>
  <si>
    <t>Szapporo</t>
  </si>
  <si>
    <t>Japán</t>
  </si>
  <si>
    <t>XII. téli olimpiai játékok</t>
  </si>
  <si>
    <t>XIII. téli olimpiai játékok</t>
  </si>
  <si>
    <t>XIV. téli olimpiai játékok</t>
  </si>
  <si>
    <t>Szarajevó</t>
  </si>
  <si>
    <t>Jugoszlávia</t>
  </si>
  <si>
    <t>XV. téli olimpiai játékok</t>
  </si>
  <si>
    <t>Calgary</t>
  </si>
  <si>
    <t>Kanada</t>
  </si>
  <si>
    <t>XVI. téli olimpiai játékok</t>
  </si>
  <si>
    <t>Albertville</t>
  </si>
  <si>
    <t>XVII. téli olimpiai játékok</t>
  </si>
  <si>
    <t>Lillehammer</t>
  </si>
  <si>
    <t>XVIII. téli olimpiai játékok</t>
  </si>
  <si>
    <t>Nagano</t>
  </si>
  <si>
    <t>XIX. téli olimpiai játékok</t>
  </si>
  <si>
    <t>Salt Lake City</t>
  </si>
  <si>
    <t>XX. téli olimpiai játékok</t>
  </si>
  <si>
    <t>Torino</t>
  </si>
  <si>
    <t>XXI. téli olimpiai játékok</t>
  </si>
  <si>
    <t>Vancouver</t>
  </si>
  <si>
    <t>XXII. téli olimpiai játékok</t>
  </si>
  <si>
    <t>Szocsi</t>
  </si>
  <si>
    <t>Oroszország</t>
  </si>
  <si>
    <t>XXIII. téli olimpiai játékok</t>
  </si>
  <si>
    <t>Phjongcshang</t>
  </si>
  <si>
    <t>Dél-Korea</t>
  </si>
  <si>
    <t>XXIV. téli olimpiai játékok</t>
  </si>
  <si>
    <t>Peking</t>
  </si>
  <si>
    <t>Kína</t>
  </si>
  <si>
    <t>XXV. téli olimpiai játékok</t>
  </si>
  <si>
    <t>Milánó-Cortina</t>
  </si>
  <si>
    <t>nemzet</t>
  </si>
  <si>
    <t>nemzet azonosítója</t>
  </si>
  <si>
    <t>AUT</t>
  </si>
  <si>
    <t>–</t>
  </si>
  <si>
    <t>Bulgária</t>
  </si>
  <si>
    <t>BUL</t>
  </si>
  <si>
    <t>Csehország</t>
  </si>
  <si>
    <t>CZE</t>
  </si>
  <si>
    <t>Csehszlovákia</t>
  </si>
  <si>
    <t>TCH</t>
  </si>
  <si>
    <t>Egyesült Államok</t>
  </si>
  <si>
    <t>Egyesített Csapat</t>
  </si>
  <si>
    <t>EUN</t>
  </si>
  <si>
    <t>KOR</t>
  </si>
  <si>
    <t>Észtország</t>
  </si>
  <si>
    <t>EST</t>
  </si>
  <si>
    <t>Fehéroroszország</t>
  </si>
  <si>
    <t>BLR</t>
  </si>
  <si>
    <t>Finnország</t>
  </si>
  <si>
    <t>FIN</t>
  </si>
  <si>
    <t>FRA</t>
  </si>
  <si>
    <t>Görögország</t>
  </si>
  <si>
    <t>GRE</t>
  </si>
  <si>
    <t>Grúzia</t>
  </si>
  <si>
    <t>GEO</t>
  </si>
  <si>
    <t>Izland</t>
  </si>
  <si>
    <t>ISL</t>
  </si>
  <si>
    <t>JPN</t>
  </si>
  <si>
    <t>YUG</t>
  </si>
  <si>
    <t>CAN</t>
  </si>
  <si>
    <t>Kazahsztán</t>
  </si>
  <si>
    <t>KAZ</t>
  </si>
  <si>
    <t>CHN</t>
  </si>
  <si>
    <t>Kirgizisztán</t>
  </si>
  <si>
    <t>KGZ</t>
  </si>
  <si>
    <t>Lengyelország</t>
  </si>
  <si>
    <t>POL</t>
  </si>
  <si>
    <t>Magyarország</t>
  </si>
  <si>
    <t>HUN</t>
  </si>
  <si>
    <t>Nagy-Britannia</t>
  </si>
  <si>
    <t>GBR</t>
  </si>
  <si>
    <t>Egyesült Német Csapat</t>
  </si>
  <si>
    <t>EUA</t>
  </si>
  <si>
    <t>GER</t>
  </si>
  <si>
    <t>NDK</t>
  </si>
  <si>
    <t>GDR</t>
  </si>
  <si>
    <t>NSZK</t>
  </si>
  <si>
    <t>FRG</t>
  </si>
  <si>
    <t>NOR</t>
  </si>
  <si>
    <t>ITA</t>
  </si>
  <si>
    <t>RUS</t>
  </si>
  <si>
    <t>Románia</t>
  </si>
  <si>
    <t>ROU</t>
  </si>
  <si>
    <t>Spanyolország</t>
  </si>
  <si>
    <t>ESP</t>
  </si>
  <si>
    <t>SUI</t>
  </si>
  <si>
    <t>Svédország</t>
  </si>
  <si>
    <t>SWE</t>
  </si>
  <si>
    <t>Szlovákia</t>
  </si>
  <si>
    <t>SVK</t>
  </si>
  <si>
    <t>Szlovénia</t>
  </si>
  <si>
    <t>SLO</t>
  </si>
  <si>
    <t>Szovjetunió</t>
  </si>
  <si>
    <t>URS</t>
  </si>
  <si>
    <t>Ukrajna</t>
  </si>
  <si>
    <t>UKR</t>
  </si>
  <si>
    <t>Résztvevő nemzetek száma</t>
  </si>
  <si>
    <t>Résztvevő sportolók száma</t>
  </si>
  <si>
    <t>sorszám:</t>
  </si>
  <si>
    <t>helyszín</t>
  </si>
  <si>
    <t>helyszín:</t>
  </si>
  <si>
    <t>dátum</t>
  </si>
  <si>
    <t>versenyző</t>
  </si>
  <si>
    <t>pálya</t>
  </si>
  <si>
    <t>verseny</t>
  </si>
  <si>
    <t>helyezés</t>
  </si>
  <si>
    <t>ugrás nagysága</t>
  </si>
  <si>
    <t>név</t>
  </si>
  <si>
    <t>ország</t>
  </si>
  <si>
    <t>hely</t>
  </si>
  <si>
    <t>méter</t>
  </si>
  <si>
    <t>yard</t>
  </si>
  <si>
    <t>láb</t>
  </si>
  <si>
    <t>Anton Innauer</t>
  </si>
  <si>
    <t>Heini-Klopfer-Skiflugschanze K175</t>
  </si>
  <si>
    <t>Oberstdorf</t>
  </si>
  <si>
    <t>KOP Nemzetközi Sírepülési Hét</t>
  </si>
  <si>
    <t>1.</t>
  </si>
  <si>
    <t>Kazuyoshi Funaki</t>
  </si>
  <si>
    <t>Heini-Klopfer-Skiflugschanze K185</t>
  </si>
  <si>
    <t>világkupa/sírepülő világbajnokság</t>
  </si>
  <si>
    <t>2.</t>
  </si>
  <si>
    <t>Hakuba K120</t>
  </si>
  <si>
    <t>olimpiai játékok</t>
  </si>
  <si>
    <t>Wielka Krokiew K116</t>
  </si>
  <si>
    <t>Zakopane</t>
  </si>
  <si>
    <t>világbajnokság</t>
  </si>
  <si>
    <t>Sven Hannawald</t>
  </si>
  <si>
    <t>Mühlenkopfschanze K130</t>
  </si>
  <si>
    <t>Willingen</t>
  </si>
  <si>
    <t>Hideharu Miyahira</t>
  </si>
  <si>
    <t>6.</t>
  </si>
  <si>
    <t>Wolfgang Loitzl</t>
  </si>
  <si>
    <t>Paul-Ausserleitner-Schanze HS140 (éjszaka)</t>
  </si>
  <si>
    <t>Bischofshofen</t>
  </si>
  <si>
    <t>négysánc-verseny</t>
  </si>
  <si>
    <t>Peter Prevc</t>
  </si>
  <si>
    <t>Letalnica bratov Gorišek HS225</t>
  </si>
  <si>
    <t>Planica</t>
  </si>
  <si>
    <t>Jurij Tepeš</t>
  </si>
  <si>
    <t>Hány versenyzőnek sikerült eddig tökéletes ugrást bemutatnia?</t>
  </si>
  <si>
    <t>Hányadik olimpián mutattak be tökéletes ugrást?</t>
  </si>
  <si>
    <t>sorszám</t>
  </si>
  <si>
    <t>szűrőtartomány:</t>
  </si>
  <si>
    <t>&lt;- ezt én csináltam már itthon</t>
  </si>
  <si>
    <t>!!! Megj.: #ÉRTÉK-et ad vissza, de a függvény párbeszédablakban Innsbruck(azt a várost adja vissza aminek a sorszáma a G4-es cellában található) van. Ha nem #ÉRTÉKET adna vissza, akkor segéd cella nélkül lenne megoldva.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</si>
</sst>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4" borderId="1" xfId="0" applyFont="1" applyFill="1" applyBorder="1"/>
    <xf numFmtId="0" fontId="1" fillId="0" borderId="1" xfId="0" applyFont="1" applyBorder="1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2" xfId="0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/>
    <xf numFmtId="14" fontId="0" fillId="0" borderId="0" xfId="0" applyNumberFormat="1" applyFill="1" applyBorder="1"/>
    <xf numFmtId="0" fontId="0" fillId="3" borderId="0" xfId="0" applyFill="1"/>
    <xf numFmtId="0" fontId="0" fillId="0" borderId="0" xfId="0" applyAlignment="1"/>
    <xf numFmtId="0" fontId="1" fillId="0" borderId="0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7" borderId="0" xfId="0" applyFill="1"/>
  </cellXfs>
  <cellStyles count="1">
    <cellStyle name="Normál" xfId="0" builtinId="0"/>
  </cellStyles>
  <dxfs count="2">
    <dxf>
      <fill>
        <patternFill>
          <bgColor rgb="FFFFD9D9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="1"/>
              <a:t>A síugrásban résztvevő nemzetek és versenyzők a téli</a:t>
            </a:r>
            <a:r>
              <a:rPr lang="hu-HU" b="1" baseline="0"/>
              <a:t> olimpiákon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4.520112376796788E-2"/>
          <c:y val="0.10322911215948144"/>
          <c:w val="0.93042869925869132"/>
          <c:h val="0.77136872685342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nemzetenként!$A$40</c:f>
              <c:strCache>
                <c:ptCount val="1"/>
                <c:pt idx="0">
                  <c:v>Résztvevő nemzetek száma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5B9BD5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leftArrow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nemzetenként!$C$1:$X$1</c:f>
              <c:numCache>
                <c:formatCode>General</c:formatCode>
                <c:ptCount val="22"/>
                <c:pt idx="0">
                  <c:v>1924</c:v>
                </c:pt>
                <c:pt idx="1">
                  <c:v>1928</c:v>
                </c:pt>
                <c:pt idx="2">
                  <c:v>1932</c:v>
                </c:pt>
                <c:pt idx="3">
                  <c:v>1936</c:v>
                </c:pt>
                <c:pt idx="4">
                  <c:v>1948</c:v>
                </c:pt>
                <c:pt idx="5">
                  <c:v>1952</c:v>
                </c:pt>
                <c:pt idx="6">
                  <c:v>1956</c:v>
                </c:pt>
                <c:pt idx="7">
                  <c:v>1960</c:v>
                </c:pt>
                <c:pt idx="8">
                  <c:v>1964</c:v>
                </c:pt>
                <c:pt idx="9">
                  <c:v>1968</c:v>
                </c:pt>
                <c:pt idx="10">
                  <c:v>1972</c:v>
                </c:pt>
                <c:pt idx="11">
                  <c:v>1976</c:v>
                </c:pt>
                <c:pt idx="12">
                  <c:v>1980</c:v>
                </c:pt>
                <c:pt idx="13">
                  <c:v>1984</c:v>
                </c:pt>
                <c:pt idx="14">
                  <c:v>1988</c:v>
                </c:pt>
                <c:pt idx="15">
                  <c:v>1992</c:v>
                </c:pt>
                <c:pt idx="16">
                  <c:v>1994</c:v>
                </c:pt>
                <c:pt idx="17">
                  <c:v>1998</c:v>
                </c:pt>
                <c:pt idx="18">
                  <c:v>2002</c:v>
                </c:pt>
                <c:pt idx="19">
                  <c:v>2006</c:v>
                </c:pt>
                <c:pt idx="20">
                  <c:v>2010</c:v>
                </c:pt>
                <c:pt idx="21">
                  <c:v>2014</c:v>
                </c:pt>
              </c:numCache>
            </c:numRef>
          </c:cat>
          <c:val>
            <c:numRef>
              <c:f>nemzetenként!$C$40:$X$40</c:f>
              <c:numCache>
                <c:formatCode>General</c:formatCode>
                <c:ptCount val="22"/>
                <c:pt idx="0">
                  <c:v>9</c:v>
                </c:pt>
                <c:pt idx="1">
                  <c:v>13</c:v>
                </c:pt>
                <c:pt idx="2">
                  <c:v>10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16</c:v>
                </c:pt>
                <c:pt idx="16">
                  <c:v>20</c:v>
                </c:pt>
                <c:pt idx="17">
                  <c:v>19</c:v>
                </c:pt>
                <c:pt idx="18">
                  <c:v>22</c:v>
                </c:pt>
                <c:pt idx="19">
                  <c:v>21</c:v>
                </c:pt>
                <c:pt idx="20">
                  <c:v>18</c:v>
                </c:pt>
                <c:pt idx="2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31-42C5-A19F-39BC36A77285}"/>
            </c:ext>
          </c:extLst>
        </c:ser>
        <c:ser>
          <c:idx val="1"/>
          <c:order val="1"/>
          <c:tx>
            <c:strRef>
              <c:f>nemzetenként!$A$41</c:f>
              <c:strCache>
                <c:ptCount val="1"/>
                <c:pt idx="0">
                  <c:v>Résztvevő sportolók száma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ED7D31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leftArrow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nemzetenként!$C$1:$X$1</c:f>
              <c:numCache>
                <c:formatCode>General</c:formatCode>
                <c:ptCount val="22"/>
                <c:pt idx="0">
                  <c:v>1924</c:v>
                </c:pt>
                <c:pt idx="1">
                  <c:v>1928</c:v>
                </c:pt>
                <c:pt idx="2">
                  <c:v>1932</c:v>
                </c:pt>
                <c:pt idx="3">
                  <c:v>1936</c:v>
                </c:pt>
                <c:pt idx="4">
                  <c:v>1948</c:v>
                </c:pt>
                <c:pt idx="5">
                  <c:v>1952</c:v>
                </c:pt>
                <c:pt idx="6">
                  <c:v>1956</c:v>
                </c:pt>
                <c:pt idx="7">
                  <c:v>1960</c:v>
                </c:pt>
                <c:pt idx="8">
                  <c:v>1964</c:v>
                </c:pt>
                <c:pt idx="9">
                  <c:v>1968</c:v>
                </c:pt>
                <c:pt idx="10">
                  <c:v>1972</c:v>
                </c:pt>
                <c:pt idx="11">
                  <c:v>1976</c:v>
                </c:pt>
                <c:pt idx="12">
                  <c:v>1980</c:v>
                </c:pt>
                <c:pt idx="13">
                  <c:v>1984</c:v>
                </c:pt>
                <c:pt idx="14">
                  <c:v>1988</c:v>
                </c:pt>
                <c:pt idx="15">
                  <c:v>1992</c:v>
                </c:pt>
                <c:pt idx="16">
                  <c:v>1994</c:v>
                </c:pt>
                <c:pt idx="17">
                  <c:v>1998</c:v>
                </c:pt>
                <c:pt idx="18">
                  <c:v>2002</c:v>
                </c:pt>
                <c:pt idx="19">
                  <c:v>2006</c:v>
                </c:pt>
                <c:pt idx="20">
                  <c:v>2010</c:v>
                </c:pt>
                <c:pt idx="21">
                  <c:v>2014</c:v>
                </c:pt>
              </c:numCache>
            </c:numRef>
          </c:cat>
          <c:val>
            <c:numRef>
              <c:f>nemzetenként!$C$41:$X$41</c:f>
              <c:numCache>
                <c:formatCode>General</c:formatCode>
                <c:ptCount val="22"/>
                <c:pt idx="0">
                  <c:v>27</c:v>
                </c:pt>
                <c:pt idx="1">
                  <c:v>38</c:v>
                </c:pt>
                <c:pt idx="2">
                  <c:v>34</c:v>
                </c:pt>
                <c:pt idx="3">
                  <c:v>48</c:v>
                </c:pt>
                <c:pt idx="4">
                  <c:v>46</c:v>
                </c:pt>
                <c:pt idx="5">
                  <c:v>43</c:v>
                </c:pt>
                <c:pt idx="6">
                  <c:v>50</c:v>
                </c:pt>
                <c:pt idx="7">
                  <c:v>45</c:v>
                </c:pt>
                <c:pt idx="8">
                  <c:v>57</c:v>
                </c:pt>
                <c:pt idx="9">
                  <c:v>66</c:v>
                </c:pt>
                <c:pt idx="10">
                  <c:v>62</c:v>
                </c:pt>
                <c:pt idx="11">
                  <c:v>62</c:v>
                </c:pt>
                <c:pt idx="12">
                  <c:v>55</c:v>
                </c:pt>
                <c:pt idx="13">
                  <c:v>65</c:v>
                </c:pt>
                <c:pt idx="14">
                  <c:v>65</c:v>
                </c:pt>
                <c:pt idx="15">
                  <c:v>60</c:v>
                </c:pt>
                <c:pt idx="16">
                  <c:v>71</c:v>
                </c:pt>
                <c:pt idx="17">
                  <c:v>68</c:v>
                </c:pt>
                <c:pt idx="18">
                  <c:v>73</c:v>
                </c:pt>
                <c:pt idx="19">
                  <c:v>80</c:v>
                </c:pt>
                <c:pt idx="20">
                  <c:v>68</c:v>
                </c:pt>
                <c:pt idx="2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31-42C5-A19F-39BC36A77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6613304"/>
        <c:axId val="496615600"/>
      </c:barChart>
      <c:catAx>
        <c:axId val="49661330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96615600"/>
        <c:crosses val="autoZero"/>
        <c:auto val="1"/>
        <c:lblAlgn val="ctr"/>
        <c:lblOffset val="100"/>
        <c:noMultiLvlLbl val="0"/>
      </c:catAx>
      <c:valAx>
        <c:axId val="496615600"/>
        <c:scaling>
          <c:orientation val="minMax"/>
          <c:max val="110"/>
        </c:scaling>
        <c:delete val="0"/>
        <c:axPos val="t"/>
        <c:majorGridlines>
          <c:spPr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dash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96613304"/>
        <c:crosses val="autoZero"/>
        <c:crossBetween val="between"/>
        <c:majorUnit val="10"/>
        <c:minorUnit val="5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bg1">
            <a:lumMod val="95000"/>
          </a:schemeClr>
        </a:gs>
        <a:gs pos="100000">
          <a:schemeClr val="bg1">
            <a:lumMod val="75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8</xdr:row>
      <xdr:rowOff>142874</xdr:rowOff>
    </xdr:from>
    <xdr:to>
      <xdr:col>9</xdr:col>
      <xdr:colOff>1635</xdr:colOff>
      <xdr:row>22</xdr:row>
      <xdr:rowOff>190499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1743074"/>
          <a:ext cx="5573760" cy="2847975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123824</xdr:colOff>
      <xdr:row>22</xdr:row>
      <xdr:rowOff>199074</xdr:rowOff>
    </xdr:from>
    <xdr:to>
      <xdr:col>8</xdr:col>
      <xdr:colOff>3858423</xdr:colOff>
      <xdr:row>39</xdr:row>
      <xdr:rowOff>133815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7774" y="4599624"/>
          <a:ext cx="5563399" cy="3239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1"/>
  <sheetViews>
    <sheetView zoomScale="70" zoomScaleNormal="7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C41" sqref="C41"/>
    </sheetView>
  </sheetViews>
  <sheetFormatPr defaultRowHeight="14.4" x14ac:dyDescent="0.3"/>
  <cols>
    <col min="1" max="1" width="21.6640625" style="11" bestFit="1" customWidth="1"/>
    <col min="2" max="2" width="17.44140625" style="8" bestFit="1" customWidth="1"/>
    <col min="3" max="24" width="5.44140625" bestFit="1" customWidth="1"/>
  </cols>
  <sheetData>
    <row r="1" spans="1:24" s="12" customFormat="1" ht="36.75" customHeight="1" thickBot="1" x14ac:dyDescent="0.35">
      <c r="A1" s="13" t="s">
        <v>65</v>
      </c>
      <c r="B1" s="14" t="s">
        <v>66</v>
      </c>
      <c r="C1" s="13">
        <v>1924</v>
      </c>
      <c r="D1" s="13">
        <v>1928</v>
      </c>
      <c r="E1" s="13">
        <v>1932</v>
      </c>
      <c r="F1" s="13">
        <v>1936</v>
      </c>
      <c r="G1" s="13">
        <v>1948</v>
      </c>
      <c r="H1" s="13">
        <v>1952</v>
      </c>
      <c r="I1" s="13">
        <v>1956</v>
      </c>
      <c r="J1" s="13">
        <v>1960</v>
      </c>
      <c r="K1" s="13">
        <v>1964</v>
      </c>
      <c r="L1" s="13">
        <v>1968</v>
      </c>
      <c r="M1" s="13">
        <v>1972</v>
      </c>
      <c r="N1" s="13">
        <v>1976</v>
      </c>
      <c r="O1" s="13">
        <v>1980</v>
      </c>
      <c r="P1" s="13">
        <v>1984</v>
      </c>
      <c r="Q1" s="13">
        <v>1988</v>
      </c>
      <c r="R1" s="13">
        <v>1992</v>
      </c>
      <c r="S1" s="13">
        <v>1994</v>
      </c>
      <c r="T1" s="13">
        <v>1998</v>
      </c>
      <c r="U1" s="13">
        <v>2002</v>
      </c>
      <c r="V1" s="13">
        <v>2006</v>
      </c>
      <c r="W1" s="13">
        <v>2010</v>
      </c>
      <c r="X1" s="13">
        <v>2014</v>
      </c>
    </row>
    <row r="2" spans="1:24" ht="15" thickBot="1" x14ac:dyDescent="0.35">
      <c r="A2" s="9" t="s">
        <v>28</v>
      </c>
      <c r="B2" s="10" t="s">
        <v>67</v>
      </c>
      <c r="C2" s="6" t="s">
        <v>68</v>
      </c>
      <c r="D2" s="6">
        <v>1</v>
      </c>
      <c r="E2" s="6">
        <v>2</v>
      </c>
      <c r="F2" s="6">
        <v>4</v>
      </c>
      <c r="G2" s="6">
        <v>4</v>
      </c>
      <c r="H2" s="6">
        <v>3</v>
      </c>
      <c r="I2" s="6">
        <v>4</v>
      </c>
      <c r="J2" s="6">
        <v>4</v>
      </c>
      <c r="K2" s="6">
        <v>4</v>
      </c>
      <c r="L2" s="6">
        <v>4</v>
      </c>
      <c r="M2" s="6">
        <v>3</v>
      </c>
      <c r="N2" s="6">
        <v>5</v>
      </c>
      <c r="O2" s="6">
        <v>5</v>
      </c>
      <c r="P2" s="6">
        <v>5</v>
      </c>
      <c r="Q2" s="6">
        <v>4</v>
      </c>
      <c r="R2" s="6">
        <v>4</v>
      </c>
      <c r="S2" s="6">
        <v>4</v>
      </c>
      <c r="T2" s="6">
        <v>5</v>
      </c>
      <c r="U2" s="6">
        <v>5</v>
      </c>
      <c r="V2" s="6">
        <v>4</v>
      </c>
      <c r="W2" s="6">
        <v>4</v>
      </c>
      <c r="X2" s="6">
        <v>6</v>
      </c>
    </row>
    <row r="3" spans="1:24" ht="15" thickBot="1" x14ac:dyDescent="0.35">
      <c r="A3" s="9" t="s">
        <v>69</v>
      </c>
      <c r="B3" s="10" t="s">
        <v>70</v>
      </c>
      <c r="C3" s="6" t="s">
        <v>68</v>
      </c>
      <c r="D3" s="6" t="s">
        <v>68</v>
      </c>
      <c r="E3" s="6" t="s">
        <v>68</v>
      </c>
      <c r="F3" s="6" t="s">
        <v>68</v>
      </c>
      <c r="G3" s="6" t="s">
        <v>68</v>
      </c>
      <c r="H3" s="6" t="s">
        <v>68</v>
      </c>
      <c r="I3" s="6" t="s">
        <v>68</v>
      </c>
      <c r="J3" s="6" t="s">
        <v>68</v>
      </c>
      <c r="K3" s="6" t="s">
        <v>68</v>
      </c>
      <c r="L3" s="6" t="s">
        <v>68</v>
      </c>
      <c r="M3" s="6" t="s">
        <v>68</v>
      </c>
      <c r="N3" s="6" t="s">
        <v>68</v>
      </c>
      <c r="O3" s="6" t="s">
        <v>68</v>
      </c>
      <c r="P3" s="6">
        <v>3</v>
      </c>
      <c r="Q3" s="6">
        <v>2</v>
      </c>
      <c r="R3" s="6" t="s">
        <v>68</v>
      </c>
      <c r="S3" s="6">
        <v>3</v>
      </c>
      <c r="T3" s="6" t="s">
        <v>68</v>
      </c>
      <c r="U3" s="6">
        <v>1</v>
      </c>
      <c r="V3" s="6">
        <v>2</v>
      </c>
      <c r="W3" s="6" t="s">
        <v>68</v>
      </c>
      <c r="X3" s="6">
        <v>1</v>
      </c>
    </row>
    <row r="4" spans="1:24" ht="15" thickBot="1" x14ac:dyDescent="0.35">
      <c r="A4" s="9" t="s">
        <v>71</v>
      </c>
      <c r="B4" s="10" t="s">
        <v>72</v>
      </c>
      <c r="C4" s="6" t="s">
        <v>68</v>
      </c>
      <c r="D4" s="6" t="s">
        <v>68</v>
      </c>
      <c r="E4" s="6" t="s">
        <v>68</v>
      </c>
      <c r="F4" s="6" t="s">
        <v>68</v>
      </c>
      <c r="G4" s="6" t="s">
        <v>68</v>
      </c>
      <c r="H4" s="6" t="s">
        <v>68</v>
      </c>
      <c r="I4" s="6" t="s">
        <v>68</v>
      </c>
      <c r="J4" s="6" t="s">
        <v>68</v>
      </c>
      <c r="K4" s="6" t="s">
        <v>68</v>
      </c>
      <c r="L4" s="6" t="s">
        <v>68</v>
      </c>
      <c r="M4" s="6" t="s">
        <v>68</v>
      </c>
      <c r="N4" s="6" t="s">
        <v>68</v>
      </c>
      <c r="O4" s="6" t="s">
        <v>68</v>
      </c>
      <c r="P4" s="6" t="s">
        <v>68</v>
      </c>
      <c r="Q4" s="6" t="s">
        <v>68</v>
      </c>
      <c r="R4" s="6" t="s">
        <v>68</v>
      </c>
      <c r="S4" s="6">
        <v>4</v>
      </c>
      <c r="T4" s="6">
        <v>4</v>
      </c>
      <c r="U4" s="6">
        <v>4</v>
      </c>
      <c r="V4" s="6">
        <v>5</v>
      </c>
      <c r="W4" s="6">
        <v>5</v>
      </c>
      <c r="X4" s="6">
        <v>5</v>
      </c>
    </row>
    <row r="5" spans="1:24" ht="15" thickBot="1" x14ac:dyDescent="0.35">
      <c r="A5" s="9" t="s">
        <v>73</v>
      </c>
      <c r="B5" s="10" t="s">
        <v>74</v>
      </c>
      <c r="C5" s="6">
        <v>3</v>
      </c>
      <c r="D5" s="6">
        <v>4</v>
      </c>
      <c r="E5" s="6">
        <v>4</v>
      </c>
      <c r="F5" s="6">
        <v>4</v>
      </c>
      <c r="G5" s="6">
        <v>4</v>
      </c>
      <c r="H5" s="6" t="s">
        <v>68</v>
      </c>
      <c r="I5" s="6">
        <v>2</v>
      </c>
      <c r="J5" s="6" t="s">
        <v>68</v>
      </c>
      <c r="K5" s="6">
        <v>3</v>
      </c>
      <c r="L5" s="6">
        <v>5</v>
      </c>
      <c r="M5" s="6">
        <v>5</v>
      </c>
      <c r="N5" s="6">
        <v>5</v>
      </c>
      <c r="O5" s="6">
        <v>2</v>
      </c>
      <c r="P5" s="6">
        <v>5</v>
      </c>
      <c r="Q5" s="6">
        <v>4</v>
      </c>
      <c r="R5" s="6">
        <v>4</v>
      </c>
      <c r="S5" s="6" t="s">
        <v>68</v>
      </c>
      <c r="T5" s="6" t="s">
        <v>68</v>
      </c>
      <c r="U5" s="6" t="s">
        <v>68</v>
      </c>
      <c r="V5" s="6" t="s">
        <v>68</v>
      </c>
      <c r="W5" s="6" t="s">
        <v>68</v>
      </c>
      <c r="X5" s="6" t="s">
        <v>68</v>
      </c>
    </row>
    <row r="6" spans="1:24" ht="15" thickBot="1" x14ac:dyDescent="0.35">
      <c r="A6" s="9" t="s">
        <v>75</v>
      </c>
      <c r="B6" s="10" t="s">
        <v>13</v>
      </c>
      <c r="C6" s="6">
        <v>3</v>
      </c>
      <c r="D6" s="6">
        <v>3</v>
      </c>
      <c r="E6" s="6">
        <v>4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5</v>
      </c>
      <c r="M6" s="6">
        <v>4</v>
      </c>
      <c r="N6" s="6">
        <v>6</v>
      </c>
      <c r="O6" s="6">
        <v>6</v>
      </c>
      <c r="P6" s="6">
        <v>5</v>
      </c>
      <c r="Q6" s="6">
        <v>6</v>
      </c>
      <c r="R6" s="6">
        <v>4</v>
      </c>
      <c r="S6" s="6">
        <v>6</v>
      </c>
      <c r="T6" s="6">
        <v>5</v>
      </c>
      <c r="U6" s="6">
        <v>5</v>
      </c>
      <c r="V6" s="6">
        <v>5</v>
      </c>
      <c r="W6" s="6">
        <v>4</v>
      </c>
      <c r="X6" s="6">
        <v>7</v>
      </c>
    </row>
    <row r="7" spans="1:24" ht="15" thickBot="1" x14ac:dyDescent="0.35">
      <c r="A7" s="9" t="s">
        <v>76</v>
      </c>
      <c r="B7" s="10" t="s">
        <v>77</v>
      </c>
      <c r="C7" s="6" t="s">
        <v>68</v>
      </c>
      <c r="D7" s="6" t="s">
        <v>68</v>
      </c>
      <c r="E7" s="6" t="s">
        <v>68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>
        <v>4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</row>
    <row r="8" spans="1:24" ht="15" thickBot="1" x14ac:dyDescent="0.35">
      <c r="A8" s="9" t="s">
        <v>59</v>
      </c>
      <c r="B8" s="10" t="s">
        <v>78</v>
      </c>
      <c r="C8" s="6" t="s">
        <v>68</v>
      </c>
      <c r="D8" s="6" t="s">
        <v>68</v>
      </c>
      <c r="E8" s="6" t="s">
        <v>68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>
        <v>4</v>
      </c>
      <c r="U8" s="6">
        <v>4</v>
      </c>
      <c r="V8" s="6">
        <v>5</v>
      </c>
      <c r="W8" s="6">
        <v>3</v>
      </c>
      <c r="X8" s="6">
        <v>5</v>
      </c>
    </row>
    <row r="9" spans="1:24" ht="15" thickBot="1" x14ac:dyDescent="0.35">
      <c r="A9" s="9" t="s">
        <v>79</v>
      </c>
      <c r="B9" s="10" t="s">
        <v>80</v>
      </c>
      <c r="C9" s="6" t="s">
        <v>68</v>
      </c>
      <c r="D9" s="6" t="s">
        <v>68</v>
      </c>
      <c r="E9" s="6" t="s">
        <v>68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>
        <v>3</v>
      </c>
      <c r="V9" s="6">
        <v>2</v>
      </c>
      <c r="W9" s="6" t="s">
        <v>68</v>
      </c>
      <c r="X9" s="6">
        <v>2</v>
      </c>
    </row>
    <row r="10" spans="1:24" ht="15" thickBot="1" x14ac:dyDescent="0.35">
      <c r="A10" s="9" t="s">
        <v>81</v>
      </c>
      <c r="B10" s="10" t="s">
        <v>82</v>
      </c>
      <c r="C10" s="6" t="s">
        <v>68</v>
      </c>
      <c r="D10" s="6" t="s">
        <v>68</v>
      </c>
      <c r="E10" s="6" t="s">
        <v>68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>
        <v>1</v>
      </c>
      <c r="T10" s="6">
        <v>2</v>
      </c>
      <c r="U10" s="6">
        <v>1</v>
      </c>
      <c r="V10" s="6">
        <v>2</v>
      </c>
      <c r="W10" s="6" t="s">
        <v>68</v>
      </c>
      <c r="X10" s="6" t="s">
        <v>68</v>
      </c>
    </row>
    <row r="11" spans="1:24" ht="15" thickBot="1" x14ac:dyDescent="0.35">
      <c r="A11" s="9" t="s">
        <v>83</v>
      </c>
      <c r="B11" s="10" t="s">
        <v>84</v>
      </c>
      <c r="C11" s="6">
        <v>2</v>
      </c>
      <c r="D11" s="6">
        <v>2</v>
      </c>
      <c r="E11" s="6" t="s">
        <v>68</v>
      </c>
      <c r="F11" s="6">
        <v>4</v>
      </c>
      <c r="G11" s="6">
        <v>3</v>
      </c>
      <c r="H11" s="6">
        <v>4</v>
      </c>
      <c r="I11" s="6">
        <v>4</v>
      </c>
      <c r="J11" s="6">
        <v>4</v>
      </c>
      <c r="K11" s="6">
        <v>4</v>
      </c>
      <c r="L11" s="6">
        <v>5</v>
      </c>
      <c r="M11" s="6">
        <v>4</v>
      </c>
      <c r="N11" s="6">
        <v>4</v>
      </c>
      <c r="O11" s="6">
        <v>4</v>
      </c>
      <c r="P11" s="6">
        <v>4</v>
      </c>
      <c r="Q11" s="6">
        <v>6</v>
      </c>
      <c r="R11" s="6">
        <v>4</v>
      </c>
      <c r="S11" s="6">
        <v>5</v>
      </c>
      <c r="T11" s="6">
        <v>4</v>
      </c>
      <c r="U11" s="6">
        <v>5</v>
      </c>
      <c r="V11" s="6">
        <v>5</v>
      </c>
      <c r="W11" s="6">
        <v>5</v>
      </c>
      <c r="X11" s="6">
        <v>6</v>
      </c>
    </row>
    <row r="12" spans="1:24" ht="15" thickBot="1" x14ac:dyDescent="0.35">
      <c r="A12" s="9" t="s">
        <v>7</v>
      </c>
      <c r="B12" s="10" t="s">
        <v>85</v>
      </c>
      <c r="C12" s="6">
        <v>4</v>
      </c>
      <c r="D12" s="6">
        <v>3</v>
      </c>
      <c r="E12" s="6" t="s">
        <v>68</v>
      </c>
      <c r="F12" s="6" t="s">
        <v>68</v>
      </c>
      <c r="G12" s="6">
        <v>4</v>
      </c>
      <c r="H12" s="6">
        <v>3</v>
      </c>
      <c r="I12" s="6">
        <v>3</v>
      </c>
      <c r="J12" s="6">
        <v>2</v>
      </c>
      <c r="K12" s="6" t="s">
        <v>68</v>
      </c>
      <c r="L12" s="6">
        <v>4</v>
      </c>
      <c r="M12" s="6">
        <v>4</v>
      </c>
      <c r="N12" s="6" t="s">
        <v>68</v>
      </c>
      <c r="O12" s="6">
        <v>2</v>
      </c>
      <c r="P12" s="6">
        <v>1</v>
      </c>
      <c r="Q12" s="6">
        <v>2</v>
      </c>
      <c r="R12" s="6">
        <v>4</v>
      </c>
      <c r="S12" s="6">
        <v>4</v>
      </c>
      <c r="T12" s="6">
        <v>2</v>
      </c>
      <c r="U12" s="6">
        <v>4</v>
      </c>
      <c r="V12" s="6" t="s">
        <v>68</v>
      </c>
      <c r="W12" s="6">
        <v>4</v>
      </c>
      <c r="X12" s="6">
        <v>4</v>
      </c>
    </row>
    <row r="13" spans="1:24" ht="15" thickBot="1" x14ac:dyDescent="0.35">
      <c r="A13" s="9" t="s">
        <v>86</v>
      </c>
      <c r="B13" s="10" t="s">
        <v>87</v>
      </c>
      <c r="C13" s="6" t="s">
        <v>68</v>
      </c>
      <c r="D13" s="6" t="s">
        <v>68</v>
      </c>
      <c r="E13" s="6" t="s">
        <v>68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>
        <v>1</v>
      </c>
    </row>
    <row r="14" spans="1:24" ht="15" thickBot="1" x14ac:dyDescent="0.35">
      <c r="A14" s="9" t="s">
        <v>88</v>
      </c>
      <c r="B14" s="10" t="s">
        <v>89</v>
      </c>
      <c r="C14" s="6" t="s">
        <v>68</v>
      </c>
      <c r="D14" s="6" t="s">
        <v>68</v>
      </c>
      <c r="E14" s="6" t="s">
        <v>68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>
        <v>1</v>
      </c>
      <c r="T14" s="6">
        <v>1</v>
      </c>
      <c r="U14" s="6">
        <v>1</v>
      </c>
      <c r="V14" s="6" t="s">
        <v>68</v>
      </c>
      <c r="W14" s="6" t="s">
        <v>68</v>
      </c>
      <c r="X14" s="6" t="s">
        <v>68</v>
      </c>
    </row>
    <row r="15" spans="1:24" ht="15" thickBot="1" x14ac:dyDescent="0.35">
      <c r="A15" s="9" t="s">
        <v>90</v>
      </c>
      <c r="B15" s="10" t="s">
        <v>91</v>
      </c>
      <c r="C15" s="6" t="s">
        <v>68</v>
      </c>
      <c r="D15" s="6" t="s">
        <v>68</v>
      </c>
      <c r="E15" s="6" t="s">
        <v>68</v>
      </c>
      <c r="F15" s="6" t="s">
        <v>68</v>
      </c>
      <c r="G15" s="6">
        <v>1</v>
      </c>
      <c r="H15" s="6">
        <v>1</v>
      </c>
      <c r="I15" s="6" t="s">
        <v>68</v>
      </c>
      <c r="J15" s="6">
        <v>1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</row>
    <row r="16" spans="1:24" ht="15" thickBot="1" x14ac:dyDescent="0.35">
      <c r="A16" s="9" t="s">
        <v>33</v>
      </c>
      <c r="B16" s="10" t="s">
        <v>92</v>
      </c>
      <c r="C16" s="6" t="s">
        <v>68</v>
      </c>
      <c r="D16" s="6">
        <v>1</v>
      </c>
      <c r="E16" s="6">
        <v>4</v>
      </c>
      <c r="F16" s="6">
        <v>4</v>
      </c>
      <c r="G16" s="6" t="s">
        <v>68</v>
      </c>
      <c r="H16" s="6">
        <v>4</v>
      </c>
      <c r="I16" s="6">
        <v>2</v>
      </c>
      <c r="J16" s="6">
        <v>4</v>
      </c>
      <c r="K16" s="6">
        <v>4</v>
      </c>
      <c r="L16" s="6">
        <v>5</v>
      </c>
      <c r="M16" s="6">
        <v>5</v>
      </c>
      <c r="N16" s="6">
        <v>5</v>
      </c>
      <c r="O16" s="6">
        <v>4</v>
      </c>
      <c r="P16" s="6">
        <v>4</v>
      </c>
      <c r="Q16" s="6">
        <v>4</v>
      </c>
      <c r="R16" s="6">
        <v>4</v>
      </c>
      <c r="S16" s="6">
        <v>4</v>
      </c>
      <c r="T16" s="6">
        <v>5</v>
      </c>
      <c r="U16" s="6">
        <v>5</v>
      </c>
      <c r="V16" s="6">
        <v>5</v>
      </c>
      <c r="W16" s="6">
        <v>4</v>
      </c>
      <c r="X16" s="6">
        <v>8</v>
      </c>
    </row>
    <row r="17" spans="1:24" ht="15" thickBot="1" x14ac:dyDescent="0.35">
      <c r="A17" s="9" t="s">
        <v>38</v>
      </c>
      <c r="B17" s="10" t="s">
        <v>93</v>
      </c>
      <c r="C17" s="6" t="s">
        <v>68</v>
      </c>
      <c r="D17" s="6" t="s">
        <v>68</v>
      </c>
      <c r="E17" s="6" t="s">
        <v>68</v>
      </c>
      <c r="F17" s="6">
        <v>4</v>
      </c>
      <c r="G17" s="6">
        <v>4</v>
      </c>
      <c r="H17" s="6">
        <v>2</v>
      </c>
      <c r="I17" s="6">
        <v>4</v>
      </c>
      <c r="J17" s="6" t="s">
        <v>68</v>
      </c>
      <c r="K17" s="6">
        <v>4</v>
      </c>
      <c r="L17" s="6">
        <v>5</v>
      </c>
      <c r="M17" s="6">
        <v>4</v>
      </c>
      <c r="N17" s="6">
        <v>4</v>
      </c>
      <c r="O17" s="6">
        <v>3</v>
      </c>
      <c r="P17" s="6">
        <v>5</v>
      </c>
      <c r="Q17" s="6">
        <v>5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</row>
    <row r="18" spans="1:24" ht="15" thickBot="1" x14ac:dyDescent="0.35">
      <c r="A18" s="9" t="s">
        <v>41</v>
      </c>
      <c r="B18" s="10" t="s">
        <v>94</v>
      </c>
      <c r="C18" s="6" t="s">
        <v>68</v>
      </c>
      <c r="D18" s="6">
        <v>1</v>
      </c>
      <c r="E18" s="6">
        <v>4</v>
      </c>
      <c r="F18" s="6">
        <v>3</v>
      </c>
      <c r="G18" s="6">
        <v>3</v>
      </c>
      <c r="H18" s="6">
        <v>2</v>
      </c>
      <c r="I18" s="6">
        <v>1</v>
      </c>
      <c r="J18" s="6">
        <v>3</v>
      </c>
      <c r="K18" s="6">
        <v>2</v>
      </c>
      <c r="L18" s="6">
        <v>3</v>
      </c>
      <c r="M18" s="6">
        <v>4</v>
      </c>
      <c r="N18" s="6">
        <v>4</v>
      </c>
      <c r="O18" s="6">
        <v>3</v>
      </c>
      <c r="P18" s="6">
        <v>4</v>
      </c>
      <c r="Q18" s="6">
        <v>4</v>
      </c>
      <c r="R18" s="6">
        <v>3</v>
      </c>
      <c r="S18" s="6" t="s">
        <v>68</v>
      </c>
      <c r="T18" s="6" t="s">
        <v>68</v>
      </c>
      <c r="U18" s="6" t="s">
        <v>68</v>
      </c>
      <c r="V18" s="6">
        <v>4</v>
      </c>
      <c r="W18" s="6">
        <v>4</v>
      </c>
      <c r="X18" s="6">
        <v>6</v>
      </c>
    </row>
    <row r="19" spans="1:24" ht="15" thickBot="1" x14ac:dyDescent="0.35">
      <c r="A19" s="9" t="s">
        <v>95</v>
      </c>
      <c r="B19" s="10" t="s">
        <v>96</v>
      </c>
      <c r="C19" s="6" t="s">
        <v>68</v>
      </c>
      <c r="D19" s="6" t="s">
        <v>68</v>
      </c>
      <c r="E19" s="6" t="s">
        <v>68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>
        <v>3</v>
      </c>
      <c r="T19" s="6">
        <v>4</v>
      </c>
      <c r="U19" s="6">
        <v>4</v>
      </c>
      <c r="V19" s="6">
        <v>4</v>
      </c>
      <c r="W19" s="6">
        <v>2</v>
      </c>
      <c r="X19" s="6">
        <v>2</v>
      </c>
    </row>
    <row r="20" spans="1:24" ht="15" thickBot="1" x14ac:dyDescent="0.35">
      <c r="A20" s="9" t="s">
        <v>62</v>
      </c>
      <c r="B20" s="10" t="s">
        <v>97</v>
      </c>
      <c r="C20" s="6" t="s">
        <v>68</v>
      </c>
      <c r="D20" s="6" t="s">
        <v>68</v>
      </c>
      <c r="E20" s="6" t="s">
        <v>68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>
        <v>4</v>
      </c>
      <c r="W20" s="6" t="s">
        <v>68</v>
      </c>
      <c r="X20" s="6" t="s">
        <v>68</v>
      </c>
    </row>
    <row r="21" spans="1:24" ht="15" thickBot="1" x14ac:dyDescent="0.35">
      <c r="A21" s="9" t="s">
        <v>98</v>
      </c>
      <c r="B21" s="10" t="s">
        <v>99</v>
      </c>
      <c r="C21" s="6" t="s">
        <v>68</v>
      </c>
      <c r="D21" s="6" t="s">
        <v>68</v>
      </c>
      <c r="E21" s="6" t="s">
        <v>68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>
        <v>1</v>
      </c>
      <c r="V21" s="6" t="s">
        <v>68</v>
      </c>
      <c r="W21" s="6" t="s">
        <v>68</v>
      </c>
      <c r="X21" s="6" t="s">
        <v>68</v>
      </c>
    </row>
    <row r="22" spans="1:24" ht="15" thickBot="1" x14ac:dyDescent="0.35">
      <c r="A22" s="9" t="s">
        <v>100</v>
      </c>
      <c r="B22" s="10" t="s">
        <v>101</v>
      </c>
      <c r="C22" s="6">
        <v>1</v>
      </c>
      <c r="D22" s="6">
        <v>4</v>
      </c>
      <c r="E22" s="6">
        <v>3</v>
      </c>
      <c r="F22" s="6">
        <v>3</v>
      </c>
      <c r="G22" s="6">
        <v>4</v>
      </c>
      <c r="H22" s="6">
        <v>4</v>
      </c>
      <c r="I22" s="6">
        <v>4</v>
      </c>
      <c r="J22" s="6">
        <v>1</v>
      </c>
      <c r="K22" s="6">
        <v>5</v>
      </c>
      <c r="L22" s="6">
        <v>4</v>
      </c>
      <c r="M22" s="6">
        <v>4</v>
      </c>
      <c r="N22" s="6">
        <v>5</v>
      </c>
      <c r="O22" s="6">
        <v>3</v>
      </c>
      <c r="P22" s="6">
        <v>2</v>
      </c>
      <c r="Q22" s="6">
        <v>2</v>
      </c>
      <c r="R22" s="6">
        <v>1</v>
      </c>
      <c r="S22" s="6">
        <v>1</v>
      </c>
      <c r="T22" s="6">
        <v>5</v>
      </c>
      <c r="U22" s="6">
        <v>5</v>
      </c>
      <c r="V22" s="6">
        <v>5</v>
      </c>
      <c r="W22" s="6">
        <v>5</v>
      </c>
      <c r="X22" s="6">
        <v>5</v>
      </c>
    </row>
    <row r="23" spans="1:24" ht="15" thickBot="1" x14ac:dyDescent="0.35">
      <c r="A23" s="9" t="s">
        <v>102</v>
      </c>
      <c r="B23" s="10" t="s">
        <v>103</v>
      </c>
      <c r="C23" s="6" t="s">
        <v>68</v>
      </c>
      <c r="D23" s="6" t="s">
        <v>68</v>
      </c>
      <c r="E23" s="6" t="s">
        <v>68</v>
      </c>
      <c r="F23" s="6" t="s">
        <v>68</v>
      </c>
      <c r="G23" s="6">
        <v>1</v>
      </c>
      <c r="H23" s="6" t="s">
        <v>68</v>
      </c>
      <c r="I23" s="6" t="s">
        <v>68</v>
      </c>
      <c r="J23" s="6">
        <v>1</v>
      </c>
      <c r="K23" s="6">
        <v>2</v>
      </c>
      <c r="L23" s="6">
        <v>2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</row>
    <row r="24" spans="1:24" ht="15" thickBot="1" x14ac:dyDescent="0.35">
      <c r="A24" s="9" t="s">
        <v>104</v>
      </c>
      <c r="B24" s="10" t="s">
        <v>105</v>
      </c>
      <c r="C24" s="6" t="s">
        <v>68</v>
      </c>
      <c r="D24" s="6" t="s">
        <v>68</v>
      </c>
      <c r="E24" s="6" t="s">
        <v>68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>
        <v>1</v>
      </c>
      <c r="R24" s="6" t="s">
        <v>68</v>
      </c>
      <c r="S24" s="6" t="s">
        <v>68</v>
      </c>
      <c r="T24" s="6" t="s">
        <v>68</v>
      </c>
      <c r="U24" s="6">
        <v>1</v>
      </c>
      <c r="V24" s="6" t="s">
        <v>68</v>
      </c>
      <c r="W24" s="6" t="s">
        <v>68</v>
      </c>
      <c r="X24" s="6" t="s">
        <v>68</v>
      </c>
    </row>
    <row r="25" spans="1:24" ht="15" thickBot="1" x14ac:dyDescent="0.35">
      <c r="A25" s="9" t="s">
        <v>106</v>
      </c>
      <c r="B25" s="10" t="s">
        <v>107</v>
      </c>
      <c r="C25" s="6" t="s">
        <v>68</v>
      </c>
      <c r="D25" s="6" t="s">
        <v>68</v>
      </c>
      <c r="E25" s="6" t="s">
        <v>68</v>
      </c>
      <c r="F25" s="6" t="s">
        <v>68</v>
      </c>
      <c r="G25" s="6" t="s">
        <v>68</v>
      </c>
      <c r="H25" s="6" t="s">
        <v>68</v>
      </c>
      <c r="I25" s="6">
        <v>4</v>
      </c>
      <c r="J25" s="6">
        <v>4</v>
      </c>
      <c r="K25" s="6">
        <v>5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</row>
    <row r="26" spans="1:24" ht="15" thickBot="1" x14ac:dyDescent="0.35">
      <c r="A26" s="9" t="s">
        <v>16</v>
      </c>
      <c r="B26" s="10" t="s">
        <v>108</v>
      </c>
      <c r="C26" s="6" t="s">
        <v>68</v>
      </c>
      <c r="D26" s="6">
        <v>4</v>
      </c>
      <c r="E26" s="6" t="s">
        <v>68</v>
      </c>
      <c r="F26" s="6">
        <v>4</v>
      </c>
      <c r="G26" s="6" t="s">
        <v>68</v>
      </c>
      <c r="H26" s="6">
        <v>4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>
        <v>5</v>
      </c>
      <c r="S26" s="6">
        <v>5</v>
      </c>
      <c r="T26" s="6">
        <v>4</v>
      </c>
      <c r="U26" s="6">
        <v>5</v>
      </c>
      <c r="V26" s="6">
        <v>5</v>
      </c>
      <c r="W26" s="6">
        <v>5</v>
      </c>
      <c r="X26" s="6">
        <v>9</v>
      </c>
    </row>
    <row r="27" spans="1:24" ht="15" thickBot="1" x14ac:dyDescent="0.35">
      <c r="A27" s="9" t="s">
        <v>109</v>
      </c>
      <c r="B27" s="10" t="s">
        <v>110</v>
      </c>
      <c r="C27" s="6" t="s">
        <v>68</v>
      </c>
      <c r="D27" s="6" t="s">
        <v>68</v>
      </c>
      <c r="E27" s="6" t="s">
        <v>68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>
        <v>4</v>
      </c>
      <c r="M27" s="6">
        <v>5</v>
      </c>
      <c r="N27" s="6">
        <v>4</v>
      </c>
      <c r="O27" s="6">
        <v>6</v>
      </c>
      <c r="P27" s="6">
        <v>5</v>
      </c>
      <c r="Q27" s="6">
        <v>2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</row>
    <row r="28" spans="1:24" ht="15" thickBot="1" x14ac:dyDescent="0.35">
      <c r="A28" s="9" t="s">
        <v>111</v>
      </c>
      <c r="B28" s="10" t="s">
        <v>112</v>
      </c>
      <c r="C28" s="6" t="s">
        <v>68</v>
      </c>
      <c r="D28" s="6" t="s">
        <v>68</v>
      </c>
      <c r="E28" s="6" t="s">
        <v>68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>
        <v>4</v>
      </c>
      <c r="M28" s="6">
        <v>3</v>
      </c>
      <c r="N28" s="6">
        <v>2</v>
      </c>
      <c r="O28" s="6">
        <v>3</v>
      </c>
      <c r="P28" s="6">
        <v>4</v>
      </c>
      <c r="Q28" s="6">
        <v>5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</row>
    <row r="29" spans="1:24" ht="15" thickBot="1" x14ac:dyDescent="0.35">
      <c r="A29" s="9" t="s">
        <v>22</v>
      </c>
      <c r="B29" s="10" t="s">
        <v>113</v>
      </c>
      <c r="C29" s="6">
        <v>4</v>
      </c>
      <c r="D29" s="6">
        <v>4</v>
      </c>
      <c r="E29" s="6">
        <v>4</v>
      </c>
      <c r="F29" s="6">
        <v>4</v>
      </c>
      <c r="G29" s="6">
        <v>4</v>
      </c>
      <c r="H29" s="6">
        <v>4</v>
      </c>
      <c r="I29" s="6">
        <v>4</v>
      </c>
      <c r="J29" s="6">
        <v>4</v>
      </c>
      <c r="K29" s="6">
        <v>5</v>
      </c>
      <c r="L29" s="6">
        <v>5</v>
      </c>
      <c r="M29" s="6">
        <v>5</v>
      </c>
      <c r="N29" s="6">
        <v>4</v>
      </c>
      <c r="O29" s="6">
        <v>4</v>
      </c>
      <c r="P29" s="6">
        <v>6</v>
      </c>
      <c r="Q29" s="6">
        <v>5</v>
      </c>
      <c r="R29" s="6">
        <v>5</v>
      </c>
      <c r="S29" s="6">
        <v>6</v>
      </c>
      <c r="T29" s="6">
        <v>5</v>
      </c>
      <c r="U29" s="6">
        <v>4</v>
      </c>
      <c r="V29" s="6">
        <v>5</v>
      </c>
      <c r="W29" s="6">
        <v>5</v>
      </c>
      <c r="X29" s="6">
        <v>8</v>
      </c>
    </row>
    <row r="30" spans="1:24" ht="15" thickBot="1" x14ac:dyDescent="0.35">
      <c r="A30" s="9" t="s">
        <v>19</v>
      </c>
      <c r="B30" s="10" t="s">
        <v>114</v>
      </c>
      <c r="C30" s="6">
        <v>2</v>
      </c>
      <c r="D30" s="6">
        <v>3</v>
      </c>
      <c r="E30" s="6">
        <v>3</v>
      </c>
      <c r="F30" s="6">
        <v>2</v>
      </c>
      <c r="G30" s="6">
        <v>3</v>
      </c>
      <c r="H30" s="6" t="s">
        <v>68</v>
      </c>
      <c r="I30" s="6">
        <v>4</v>
      </c>
      <c r="J30" s="6">
        <v>4</v>
      </c>
      <c r="K30" s="6">
        <v>3</v>
      </c>
      <c r="L30" s="6">
        <v>1</v>
      </c>
      <c r="M30" s="6">
        <v>1</v>
      </c>
      <c r="N30" s="6">
        <v>4</v>
      </c>
      <c r="O30" s="6">
        <v>1</v>
      </c>
      <c r="P30" s="6">
        <v>3</v>
      </c>
      <c r="Q30" s="6">
        <v>2</v>
      </c>
      <c r="R30" s="6">
        <v>3</v>
      </c>
      <c r="S30" s="6">
        <v>4</v>
      </c>
      <c r="T30" s="6">
        <v>1</v>
      </c>
      <c r="U30" s="6">
        <v>1</v>
      </c>
      <c r="V30" s="6">
        <v>4</v>
      </c>
      <c r="W30" s="6">
        <v>3</v>
      </c>
      <c r="X30" s="6">
        <v>5</v>
      </c>
    </row>
    <row r="31" spans="1:24" ht="15" thickBot="1" x14ac:dyDescent="0.35">
      <c r="A31" s="9" t="s">
        <v>56</v>
      </c>
      <c r="B31" s="10" t="s">
        <v>115</v>
      </c>
      <c r="C31" s="6" t="s">
        <v>68</v>
      </c>
      <c r="D31" s="6" t="s">
        <v>68</v>
      </c>
      <c r="E31" s="6" t="s">
        <v>68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>
        <v>4</v>
      </c>
      <c r="T31" s="6">
        <v>4</v>
      </c>
      <c r="U31" s="6">
        <v>5</v>
      </c>
      <c r="V31" s="6">
        <v>4</v>
      </c>
      <c r="W31" s="6">
        <v>4</v>
      </c>
      <c r="X31" s="6">
        <v>6</v>
      </c>
    </row>
    <row r="32" spans="1:24" ht="15" thickBot="1" x14ac:dyDescent="0.35">
      <c r="A32" s="9" t="s">
        <v>116</v>
      </c>
      <c r="B32" s="10" t="s">
        <v>117</v>
      </c>
      <c r="C32" s="6" t="s">
        <v>68</v>
      </c>
      <c r="D32" s="6" t="s">
        <v>68</v>
      </c>
      <c r="E32" s="6" t="s">
        <v>68</v>
      </c>
      <c r="F32" s="6">
        <v>1</v>
      </c>
      <c r="G32" s="6" t="s">
        <v>68</v>
      </c>
      <c r="H32" s="6" t="s">
        <v>68</v>
      </c>
      <c r="I32" s="6">
        <v>1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>
        <v>1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>
        <v>1</v>
      </c>
    </row>
    <row r="33" spans="1:24" ht="15" thickBot="1" x14ac:dyDescent="0.35">
      <c r="A33" s="9" t="s">
        <v>118</v>
      </c>
      <c r="B33" s="10" t="s">
        <v>119</v>
      </c>
      <c r="C33" s="6" t="s">
        <v>68</v>
      </c>
      <c r="D33" s="6" t="s">
        <v>68</v>
      </c>
      <c r="E33" s="6" t="s">
        <v>68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>
        <v>3</v>
      </c>
      <c r="Q33" s="6">
        <v>1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</row>
    <row r="34" spans="1:24" ht="15" thickBot="1" x14ac:dyDescent="0.35">
      <c r="A34" s="9" t="s">
        <v>10</v>
      </c>
      <c r="B34" s="10" t="s">
        <v>120</v>
      </c>
      <c r="C34" s="6">
        <v>4</v>
      </c>
      <c r="D34" s="6">
        <v>4</v>
      </c>
      <c r="E34" s="6">
        <v>3</v>
      </c>
      <c r="F34" s="6">
        <v>3</v>
      </c>
      <c r="G34" s="6">
        <v>4</v>
      </c>
      <c r="H34" s="6">
        <v>4</v>
      </c>
      <c r="I34" s="6">
        <v>2</v>
      </c>
      <c r="J34" s="6">
        <v>1</v>
      </c>
      <c r="K34" s="6">
        <v>3</v>
      </c>
      <c r="L34" s="6">
        <v>1</v>
      </c>
      <c r="M34" s="6">
        <v>4</v>
      </c>
      <c r="N34" s="6">
        <v>4</v>
      </c>
      <c r="O34" s="6">
        <v>4</v>
      </c>
      <c r="P34" s="6">
        <v>3</v>
      </c>
      <c r="Q34" s="6">
        <v>4</v>
      </c>
      <c r="R34" s="6">
        <v>4</v>
      </c>
      <c r="S34" s="6">
        <v>2</v>
      </c>
      <c r="T34" s="6">
        <v>4</v>
      </c>
      <c r="U34" s="6">
        <v>4</v>
      </c>
      <c r="V34" s="6">
        <v>4</v>
      </c>
      <c r="W34" s="6">
        <v>2</v>
      </c>
      <c r="X34" s="6">
        <v>3</v>
      </c>
    </row>
    <row r="35" spans="1:24" ht="15" thickBot="1" x14ac:dyDescent="0.35">
      <c r="A35" s="9" t="s">
        <v>121</v>
      </c>
      <c r="B35" s="10" t="s">
        <v>122</v>
      </c>
      <c r="C35" s="6">
        <v>4</v>
      </c>
      <c r="D35" s="6">
        <v>4</v>
      </c>
      <c r="E35" s="6">
        <v>3</v>
      </c>
      <c r="F35" s="6">
        <v>4</v>
      </c>
      <c r="G35" s="6">
        <v>3</v>
      </c>
      <c r="H35" s="6">
        <v>4</v>
      </c>
      <c r="I35" s="6">
        <v>4</v>
      </c>
      <c r="J35" s="6">
        <v>4</v>
      </c>
      <c r="K35" s="6">
        <v>4</v>
      </c>
      <c r="L35" s="6">
        <v>5</v>
      </c>
      <c r="M35" s="6">
        <v>2</v>
      </c>
      <c r="N35" s="6">
        <v>2</v>
      </c>
      <c r="O35" s="6">
        <v>1</v>
      </c>
      <c r="P35" s="6" t="s">
        <v>68</v>
      </c>
      <c r="Q35" s="6">
        <v>4</v>
      </c>
      <c r="R35" s="6">
        <v>5</v>
      </c>
      <c r="S35" s="6">
        <v>5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</row>
    <row r="36" spans="1:24" ht="15" thickBot="1" x14ac:dyDescent="0.35">
      <c r="A36" s="9" t="s">
        <v>123</v>
      </c>
      <c r="B36" s="10" t="s">
        <v>124</v>
      </c>
      <c r="C36" s="6" t="s">
        <v>68</v>
      </c>
      <c r="D36" s="6" t="s">
        <v>68</v>
      </c>
      <c r="E36" s="6" t="s">
        <v>68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>
        <v>2</v>
      </c>
      <c r="T36" s="6">
        <v>1</v>
      </c>
      <c r="U36" s="6" t="s">
        <v>68</v>
      </c>
      <c r="V36" s="6">
        <v>1</v>
      </c>
      <c r="W36" s="6">
        <v>1</v>
      </c>
      <c r="X36" s="6" t="s">
        <v>68</v>
      </c>
    </row>
    <row r="37" spans="1:24" ht="15" thickBot="1" x14ac:dyDescent="0.35">
      <c r="A37" s="9" t="s">
        <v>125</v>
      </c>
      <c r="B37" s="10" t="s">
        <v>126</v>
      </c>
      <c r="C37" s="6" t="s">
        <v>68</v>
      </c>
      <c r="D37" s="6" t="s">
        <v>68</v>
      </c>
      <c r="E37" s="6" t="s">
        <v>68</v>
      </c>
      <c r="F37" s="6" t="s">
        <v>68</v>
      </c>
      <c r="G37" s="6" t="s">
        <v>68</v>
      </c>
      <c r="H37" s="6" t="s">
        <v>68</v>
      </c>
      <c r="I37" s="6" t="s">
        <v>68</v>
      </c>
      <c r="J37" s="6" t="s">
        <v>68</v>
      </c>
      <c r="K37" s="6" t="s">
        <v>68</v>
      </c>
      <c r="L37" s="6" t="s">
        <v>68</v>
      </c>
      <c r="M37" s="6" t="s">
        <v>68</v>
      </c>
      <c r="N37" s="6" t="s">
        <v>68</v>
      </c>
      <c r="O37" s="6" t="s">
        <v>68</v>
      </c>
      <c r="P37" s="6" t="s">
        <v>68</v>
      </c>
      <c r="Q37" s="6" t="s">
        <v>68</v>
      </c>
      <c r="R37" s="6">
        <v>5</v>
      </c>
      <c r="S37" s="6">
        <v>6</v>
      </c>
      <c r="T37" s="6">
        <v>5</v>
      </c>
      <c r="U37" s="6">
        <v>4</v>
      </c>
      <c r="V37" s="6">
        <v>4</v>
      </c>
      <c r="W37" s="6">
        <v>5</v>
      </c>
      <c r="X37" s="6">
        <v>8</v>
      </c>
    </row>
    <row r="38" spans="1:24" ht="15" thickBot="1" x14ac:dyDescent="0.35">
      <c r="A38" s="9" t="s">
        <v>127</v>
      </c>
      <c r="B38" s="10" t="s">
        <v>128</v>
      </c>
      <c r="C38" s="6" t="s">
        <v>68</v>
      </c>
      <c r="D38" s="6" t="s">
        <v>68</v>
      </c>
      <c r="E38" s="6" t="s">
        <v>68</v>
      </c>
      <c r="F38" s="6" t="s">
        <v>68</v>
      </c>
      <c r="G38" s="6" t="s">
        <v>68</v>
      </c>
      <c r="H38" s="6" t="s">
        <v>68</v>
      </c>
      <c r="I38" s="6">
        <v>3</v>
      </c>
      <c r="J38" s="6">
        <v>4</v>
      </c>
      <c r="K38" s="6">
        <v>5</v>
      </c>
      <c r="L38" s="6">
        <v>4</v>
      </c>
      <c r="M38" s="6">
        <v>5</v>
      </c>
      <c r="N38" s="6">
        <v>4</v>
      </c>
      <c r="O38" s="6">
        <v>4</v>
      </c>
      <c r="P38" s="6">
        <v>3</v>
      </c>
      <c r="Q38" s="6">
        <v>2</v>
      </c>
      <c r="R38" s="6" t="s">
        <v>68</v>
      </c>
      <c r="S38" s="6" t="s">
        <v>68</v>
      </c>
      <c r="T38" s="6" t="s">
        <v>68</v>
      </c>
      <c r="U38" s="6" t="s">
        <v>68</v>
      </c>
      <c r="V38" s="6" t="s">
        <v>68</v>
      </c>
      <c r="W38" s="6" t="s">
        <v>68</v>
      </c>
      <c r="X38" s="6" t="s">
        <v>68</v>
      </c>
    </row>
    <row r="39" spans="1:24" ht="15" thickBot="1" x14ac:dyDescent="0.35">
      <c r="A39" s="9" t="s">
        <v>129</v>
      </c>
      <c r="B39" s="10" t="s">
        <v>130</v>
      </c>
      <c r="C39" s="6" t="s">
        <v>68</v>
      </c>
      <c r="D39" s="6" t="s">
        <v>68</v>
      </c>
      <c r="E39" s="6" t="s">
        <v>68</v>
      </c>
      <c r="F39" s="6" t="s">
        <v>68</v>
      </c>
      <c r="G39" s="6" t="s">
        <v>68</v>
      </c>
      <c r="H39" s="6" t="s">
        <v>68</v>
      </c>
      <c r="I39" s="6" t="s">
        <v>68</v>
      </c>
      <c r="J39" s="6" t="s">
        <v>68</v>
      </c>
      <c r="K39" s="6" t="s">
        <v>68</v>
      </c>
      <c r="L39" s="6" t="s">
        <v>68</v>
      </c>
      <c r="M39" s="6" t="s">
        <v>68</v>
      </c>
      <c r="N39" s="6" t="s">
        <v>68</v>
      </c>
      <c r="O39" s="6" t="s">
        <v>68</v>
      </c>
      <c r="P39" s="6" t="s">
        <v>68</v>
      </c>
      <c r="Q39" s="6" t="s">
        <v>68</v>
      </c>
      <c r="R39" s="6" t="s">
        <v>68</v>
      </c>
      <c r="S39" s="6">
        <v>1</v>
      </c>
      <c r="T39" s="6">
        <v>3</v>
      </c>
      <c r="U39" s="6">
        <v>1</v>
      </c>
      <c r="V39" s="6">
        <v>1</v>
      </c>
      <c r="W39" s="6">
        <v>3</v>
      </c>
      <c r="X39" s="6" t="s">
        <v>68</v>
      </c>
    </row>
    <row r="40" spans="1:24" ht="15" thickBot="1" x14ac:dyDescent="0.35">
      <c r="A40" s="25" t="s">
        <v>131</v>
      </c>
      <c r="B40" s="25"/>
      <c r="C40" s="15">
        <f>COUNT(C2:C39)</f>
        <v>9</v>
      </c>
      <c r="D40" s="15">
        <f t="shared" ref="D40:X40" si="0">COUNT(D2:D39)</f>
        <v>13</v>
      </c>
      <c r="E40" s="15">
        <f t="shared" si="0"/>
        <v>10</v>
      </c>
      <c r="F40" s="15">
        <f t="shared" si="0"/>
        <v>14</v>
      </c>
      <c r="G40" s="15">
        <f t="shared" si="0"/>
        <v>14</v>
      </c>
      <c r="H40" s="15">
        <f t="shared" si="0"/>
        <v>13</v>
      </c>
      <c r="I40" s="15">
        <f t="shared" si="0"/>
        <v>16</v>
      </c>
      <c r="J40" s="15">
        <f t="shared" si="0"/>
        <v>15</v>
      </c>
      <c r="K40" s="15">
        <f t="shared" si="0"/>
        <v>15</v>
      </c>
      <c r="L40" s="15">
        <f t="shared" si="0"/>
        <v>17</v>
      </c>
      <c r="M40" s="15">
        <f t="shared" si="0"/>
        <v>16</v>
      </c>
      <c r="N40" s="15">
        <f t="shared" si="0"/>
        <v>15</v>
      </c>
      <c r="O40" s="15">
        <f t="shared" si="0"/>
        <v>16</v>
      </c>
      <c r="P40" s="15">
        <f t="shared" si="0"/>
        <v>17</v>
      </c>
      <c r="Q40" s="15">
        <f t="shared" si="0"/>
        <v>19</v>
      </c>
      <c r="R40" s="15">
        <f t="shared" si="0"/>
        <v>16</v>
      </c>
      <c r="S40" s="15">
        <f t="shared" si="0"/>
        <v>20</v>
      </c>
      <c r="T40" s="15">
        <f t="shared" si="0"/>
        <v>19</v>
      </c>
      <c r="U40" s="15">
        <f t="shared" si="0"/>
        <v>22</v>
      </c>
      <c r="V40" s="15">
        <f t="shared" si="0"/>
        <v>21</v>
      </c>
      <c r="W40" s="15">
        <f t="shared" si="0"/>
        <v>18</v>
      </c>
      <c r="X40" s="15">
        <f t="shared" si="0"/>
        <v>20</v>
      </c>
    </row>
    <row r="41" spans="1:24" ht="15" thickBot="1" x14ac:dyDescent="0.35">
      <c r="A41" s="25" t="s">
        <v>132</v>
      </c>
      <c r="B41" s="25"/>
      <c r="C41" s="15">
        <f>SUM(C2:C39)</f>
        <v>27</v>
      </c>
      <c r="D41" s="15">
        <f t="shared" ref="D41:X41" si="1">SUM(D2:D39)</f>
        <v>38</v>
      </c>
      <c r="E41" s="15">
        <f t="shared" si="1"/>
        <v>34</v>
      </c>
      <c r="F41" s="15">
        <f t="shared" si="1"/>
        <v>48</v>
      </c>
      <c r="G41" s="15">
        <f t="shared" si="1"/>
        <v>46</v>
      </c>
      <c r="H41" s="15">
        <f t="shared" si="1"/>
        <v>43</v>
      </c>
      <c r="I41" s="15">
        <f t="shared" si="1"/>
        <v>50</v>
      </c>
      <c r="J41" s="15">
        <f t="shared" si="1"/>
        <v>45</v>
      </c>
      <c r="K41" s="15">
        <f t="shared" si="1"/>
        <v>57</v>
      </c>
      <c r="L41" s="15">
        <f t="shared" si="1"/>
        <v>66</v>
      </c>
      <c r="M41" s="15">
        <f t="shared" si="1"/>
        <v>62</v>
      </c>
      <c r="N41" s="15">
        <f t="shared" si="1"/>
        <v>62</v>
      </c>
      <c r="O41" s="15">
        <f t="shared" si="1"/>
        <v>55</v>
      </c>
      <c r="P41" s="15">
        <f t="shared" si="1"/>
        <v>65</v>
      </c>
      <c r="Q41" s="15">
        <f t="shared" si="1"/>
        <v>65</v>
      </c>
      <c r="R41" s="15">
        <f t="shared" si="1"/>
        <v>60</v>
      </c>
      <c r="S41" s="15">
        <f t="shared" si="1"/>
        <v>71</v>
      </c>
      <c r="T41" s="15">
        <f t="shared" si="1"/>
        <v>68</v>
      </c>
      <c r="U41" s="15">
        <f t="shared" si="1"/>
        <v>73</v>
      </c>
      <c r="V41" s="15">
        <f t="shared" si="1"/>
        <v>80</v>
      </c>
      <c r="W41" s="15">
        <f t="shared" si="1"/>
        <v>68</v>
      </c>
      <c r="X41" s="15">
        <f t="shared" si="1"/>
        <v>98</v>
      </c>
    </row>
  </sheetData>
  <mergeCells count="2">
    <mergeCell ref="A40:B40"/>
    <mergeCell ref="A41:B4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05A36A9-CCD3-4229-A6C0-090349B044A4}">
            <xm:f>IF($A2 = INDEX(helyszínek!$D$3:$D$29,MATCH(C$1,helyszínek!$A$3:$A$29,0)),TRUE,FALSE)</xm:f>
            <x14:dxf>
              <fill>
                <patternFill>
                  <bgColor theme="7" tint="0.59996337778862885"/>
                </patternFill>
              </fill>
            </x14:dxf>
          </x14:cfRule>
          <xm:sqref>C2:X39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tabSelected="1" workbookViewId="0">
      <pane ySplit="2" topLeftCell="A3" activePane="bottomLeft" state="frozen"/>
      <selection pane="bottomLeft" activeCell="I5" sqref="I5:I8"/>
    </sheetView>
  </sheetViews>
  <sheetFormatPr defaultRowHeight="14.4" x14ac:dyDescent="0.3"/>
  <cols>
    <col min="1" max="1" width="5" bestFit="1" customWidth="1"/>
    <col min="2" max="2" width="24.33203125" bestFit="1" customWidth="1"/>
    <col min="3" max="3" width="22.6640625" bestFit="1" customWidth="1"/>
    <col min="4" max="4" width="12.88671875" bestFit="1" customWidth="1"/>
    <col min="6" max="6" width="8.6640625" bestFit="1" customWidth="1"/>
    <col min="7" max="7" width="9.5546875" bestFit="1" customWidth="1"/>
    <col min="9" max="9" width="58.109375" customWidth="1"/>
  </cols>
  <sheetData>
    <row r="1" spans="1:12" ht="15" thickBot="1" x14ac:dyDescent="0.35">
      <c r="A1" s="26" t="s">
        <v>0</v>
      </c>
      <c r="B1" s="26" t="s">
        <v>1</v>
      </c>
      <c r="C1" s="26" t="s">
        <v>2</v>
      </c>
      <c r="D1" s="26"/>
      <c r="L1" s="27" t="s">
        <v>177</v>
      </c>
    </row>
    <row r="2" spans="1:12" ht="15" thickBot="1" x14ac:dyDescent="0.35">
      <c r="A2" s="26"/>
      <c r="B2" s="26"/>
      <c r="C2" s="4" t="s">
        <v>3</v>
      </c>
      <c r="D2" s="4" t="s">
        <v>4</v>
      </c>
      <c r="L2" s="27"/>
    </row>
    <row r="3" spans="1:12" ht="15" thickBot="1" x14ac:dyDescent="0.35">
      <c r="A3" s="6">
        <v>1924</v>
      </c>
      <c r="B3" s="6" t="s">
        <v>5</v>
      </c>
      <c r="C3" s="6" t="s">
        <v>6</v>
      </c>
      <c r="D3" s="6" t="s">
        <v>7</v>
      </c>
      <c r="L3" t="str">
        <f>LEFT(B3:B29,FIND(".",B3:B29)-1)</f>
        <v>I</v>
      </c>
    </row>
    <row r="4" spans="1:12" ht="15" thickBot="1" x14ac:dyDescent="0.35">
      <c r="A4" s="6">
        <v>1928</v>
      </c>
      <c r="B4" s="6" t="s">
        <v>8</v>
      </c>
      <c r="C4" s="6" t="s">
        <v>9</v>
      </c>
      <c r="D4" s="6" t="s">
        <v>10</v>
      </c>
      <c r="F4" s="16" t="s">
        <v>133</v>
      </c>
      <c r="G4" s="16">
        <v>12</v>
      </c>
      <c r="H4" s="31" t="str" cm="1">
        <f t="array" ref="H4">IF(COUNTIF(L3:L29,ROMAN(G4)) = 1,INDEX(C3:C29,MAX(IF(LEFT(B3:B29,FIND(".",B3:B29)-1) = ROMAN(G4),ROW(C3:C29),0))-2),IF(COUNTIF(L3:L29,ROMAN(G4)) = 0,"nem volt","több helyszín"))</f>
        <v>Innsbruck</v>
      </c>
      <c r="I4" s="31" t="s">
        <v>179</v>
      </c>
      <c r="L4" t="str">
        <f>LEFT(B4:B30,FIND(".",B4:B30)-1)</f>
        <v>II</v>
      </c>
    </row>
    <row r="5" spans="1:12" ht="15.75" customHeight="1" thickBot="1" x14ac:dyDescent="0.35">
      <c r="A5" s="6">
        <v>1932</v>
      </c>
      <c r="B5" s="6" t="s">
        <v>11</v>
      </c>
      <c r="C5" s="6" t="s">
        <v>12</v>
      </c>
      <c r="D5" s="6" t="s">
        <v>13</v>
      </c>
      <c r="F5" s="16" t="s">
        <v>135</v>
      </c>
      <c r="G5" s="16" t="str">
        <f>IF(COUNTIF(L3:L29,ROMAN(G4)) = 1,INDEX(C3:C29,MATCH(ROMAN(G4),L3:L29,0)),IF(COUNTIF(L3:L29,ROMAN(G4)) = 0,"nem volt","több helyszín"))</f>
        <v>Innsbruck</v>
      </c>
      <c r="H5" s="19" t="e">
        <f>IF(COUNTIF(L3:L29,ROMAN(G4)) = 1,INDEX(C3:C29,MAX(IF(LEFT(B3:B29,FIND(".",B3:B29)-1) = ROMAN(G4),ROW(C3:C29),0))-2),IF(COUNTIF(L3:L29,ROMAN(G4)) = 0,"nem volt","több helyszín"))</f>
        <v>#VALUE!</v>
      </c>
      <c r="I5" s="28" t="s">
        <v>180</v>
      </c>
      <c r="L5" t="str">
        <f>LEFT(B5:B31,FIND(".",B5:B31)-1)</f>
        <v>III</v>
      </c>
    </row>
    <row r="6" spans="1:12" ht="15" thickBot="1" x14ac:dyDescent="0.35">
      <c r="A6" s="6">
        <v>1936</v>
      </c>
      <c r="B6" s="6" t="s">
        <v>14</v>
      </c>
      <c r="C6" s="6" t="s">
        <v>15</v>
      </c>
      <c r="D6" s="6" t="s">
        <v>16</v>
      </c>
      <c r="I6" s="28"/>
      <c r="L6" t="str">
        <f>LEFT(B6:B32,FIND(".",B6:B32)-1)</f>
        <v>IV</v>
      </c>
    </row>
    <row r="7" spans="1:12" ht="15" thickBot="1" x14ac:dyDescent="0.35">
      <c r="A7" s="6">
        <v>1940</v>
      </c>
      <c r="B7" s="6" t="s">
        <v>17</v>
      </c>
      <c r="C7" s="6" t="s">
        <v>15</v>
      </c>
      <c r="D7" s="6" t="s">
        <v>16</v>
      </c>
      <c r="I7" s="28"/>
      <c r="L7" t="str">
        <f t="shared" ref="L7:L29" si="0">LEFT($B7,FIND(".",$B7)-1)</f>
        <v>V</v>
      </c>
    </row>
    <row r="8" spans="1:12" ht="15" thickBot="1" x14ac:dyDescent="0.35">
      <c r="A8" s="6">
        <v>1944</v>
      </c>
      <c r="B8" s="6" t="s">
        <v>17</v>
      </c>
      <c r="C8" s="6" t="s">
        <v>18</v>
      </c>
      <c r="D8" s="6" t="s">
        <v>19</v>
      </c>
      <c r="G8" s="17"/>
      <c r="I8" s="28"/>
      <c r="L8" t="str">
        <f t="shared" si="0"/>
        <v>V</v>
      </c>
    </row>
    <row r="9" spans="1:12" ht="15" thickBot="1" x14ac:dyDescent="0.35">
      <c r="A9" s="6">
        <v>1948</v>
      </c>
      <c r="B9" s="6" t="s">
        <v>17</v>
      </c>
      <c r="C9" s="6" t="s">
        <v>9</v>
      </c>
      <c r="D9" s="6" t="s">
        <v>10</v>
      </c>
      <c r="L9" t="str">
        <f t="shared" si="0"/>
        <v>V</v>
      </c>
    </row>
    <row r="10" spans="1:12" ht="15" thickBot="1" x14ac:dyDescent="0.35">
      <c r="A10" s="6">
        <v>1952</v>
      </c>
      <c r="B10" s="6" t="s">
        <v>20</v>
      </c>
      <c r="C10" s="6" t="s">
        <v>21</v>
      </c>
      <c r="D10" s="6" t="s">
        <v>22</v>
      </c>
      <c r="L10" t="str">
        <f t="shared" si="0"/>
        <v>VI</v>
      </c>
    </row>
    <row r="11" spans="1:12" ht="15" thickBot="1" x14ac:dyDescent="0.35">
      <c r="A11" s="6">
        <v>1956</v>
      </c>
      <c r="B11" s="6" t="s">
        <v>23</v>
      </c>
      <c r="C11" s="6" t="s">
        <v>18</v>
      </c>
      <c r="D11" s="6" t="s">
        <v>19</v>
      </c>
      <c r="L11" t="str">
        <f t="shared" si="0"/>
        <v>VII</v>
      </c>
    </row>
    <row r="12" spans="1:12" ht="15" thickBot="1" x14ac:dyDescent="0.35">
      <c r="A12" s="6">
        <v>1960</v>
      </c>
      <c r="B12" s="6" t="s">
        <v>24</v>
      </c>
      <c r="C12" s="6" t="s">
        <v>25</v>
      </c>
      <c r="D12" s="6" t="s">
        <v>13</v>
      </c>
      <c r="L12" t="str">
        <f t="shared" si="0"/>
        <v>VIII</v>
      </c>
    </row>
    <row r="13" spans="1:12" ht="15" thickBot="1" x14ac:dyDescent="0.35">
      <c r="A13" s="6">
        <v>1964</v>
      </c>
      <c r="B13" s="6" t="s">
        <v>26</v>
      </c>
      <c r="C13" s="6" t="s">
        <v>27</v>
      </c>
      <c r="D13" s="6" t="s">
        <v>28</v>
      </c>
      <c r="L13" t="str">
        <f t="shared" si="0"/>
        <v>IX</v>
      </c>
    </row>
    <row r="14" spans="1:12" ht="15" thickBot="1" x14ac:dyDescent="0.35">
      <c r="A14" s="6">
        <v>1968</v>
      </c>
      <c r="B14" s="6" t="s">
        <v>29</v>
      </c>
      <c r="C14" s="6" t="s">
        <v>30</v>
      </c>
      <c r="D14" s="6" t="s">
        <v>7</v>
      </c>
      <c r="L14" t="str">
        <f t="shared" si="0"/>
        <v>X</v>
      </c>
    </row>
    <row r="15" spans="1:12" ht="15" thickBot="1" x14ac:dyDescent="0.35">
      <c r="A15" s="6">
        <v>1972</v>
      </c>
      <c r="B15" s="6" t="s">
        <v>31</v>
      </c>
      <c r="C15" s="6" t="s">
        <v>32</v>
      </c>
      <c r="D15" s="6" t="s">
        <v>33</v>
      </c>
      <c r="L15" t="str">
        <f t="shared" si="0"/>
        <v>XI</v>
      </c>
    </row>
    <row r="16" spans="1:12" ht="15" thickBot="1" x14ac:dyDescent="0.35">
      <c r="A16" s="6">
        <v>1976</v>
      </c>
      <c r="B16" s="6" t="s">
        <v>34</v>
      </c>
      <c r="C16" s="6" t="s">
        <v>27</v>
      </c>
      <c r="D16" s="6" t="s">
        <v>28</v>
      </c>
      <c r="L16" t="str">
        <f t="shared" si="0"/>
        <v>XII</v>
      </c>
    </row>
    <row r="17" spans="1:12" ht="15" thickBot="1" x14ac:dyDescent="0.35">
      <c r="A17" s="6">
        <v>1980</v>
      </c>
      <c r="B17" s="6" t="s">
        <v>35</v>
      </c>
      <c r="C17" s="6" t="s">
        <v>12</v>
      </c>
      <c r="D17" s="6" t="s">
        <v>13</v>
      </c>
      <c r="L17" t="str">
        <f t="shared" si="0"/>
        <v>XIII</v>
      </c>
    </row>
    <row r="18" spans="1:12" ht="15" thickBot="1" x14ac:dyDescent="0.35">
      <c r="A18" s="6">
        <v>1984</v>
      </c>
      <c r="B18" s="6" t="s">
        <v>36</v>
      </c>
      <c r="C18" s="6" t="s">
        <v>37</v>
      </c>
      <c r="D18" s="6" t="s">
        <v>38</v>
      </c>
      <c r="L18" t="str">
        <f t="shared" si="0"/>
        <v>XIV</v>
      </c>
    </row>
    <row r="19" spans="1:12" ht="15" thickBot="1" x14ac:dyDescent="0.35">
      <c r="A19" s="6">
        <v>1988</v>
      </c>
      <c r="B19" s="6" t="s">
        <v>39</v>
      </c>
      <c r="C19" s="6" t="s">
        <v>40</v>
      </c>
      <c r="D19" s="6" t="s">
        <v>41</v>
      </c>
      <c r="L19" t="str">
        <f t="shared" si="0"/>
        <v>XV</v>
      </c>
    </row>
    <row r="20" spans="1:12" ht="15" thickBot="1" x14ac:dyDescent="0.35">
      <c r="A20" s="6">
        <v>1992</v>
      </c>
      <c r="B20" s="6" t="s">
        <v>42</v>
      </c>
      <c r="C20" s="6" t="s">
        <v>43</v>
      </c>
      <c r="D20" s="6" t="s">
        <v>7</v>
      </c>
      <c r="L20" t="str">
        <f t="shared" si="0"/>
        <v>XVI</v>
      </c>
    </row>
    <row r="21" spans="1:12" ht="15" thickBot="1" x14ac:dyDescent="0.35">
      <c r="A21" s="6">
        <v>1994</v>
      </c>
      <c r="B21" s="6" t="s">
        <v>44</v>
      </c>
      <c r="C21" s="6" t="s">
        <v>45</v>
      </c>
      <c r="D21" s="6" t="s">
        <v>22</v>
      </c>
      <c r="L21" t="str">
        <f t="shared" si="0"/>
        <v>XVII</v>
      </c>
    </row>
    <row r="22" spans="1:12" ht="15" thickBot="1" x14ac:dyDescent="0.35">
      <c r="A22" s="6">
        <v>1998</v>
      </c>
      <c r="B22" s="6" t="s">
        <v>46</v>
      </c>
      <c r="C22" s="6" t="s">
        <v>47</v>
      </c>
      <c r="D22" s="6" t="s">
        <v>33</v>
      </c>
      <c r="L22" t="str">
        <f t="shared" si="0"/>
        <v>XVIII</v>
      </c>
    </row>
    <row r="23" spans="1:12" ht="15" thickBot="1" x14ac:dyDescent="0.35">
      <c r="A23" s="6">
        <v>2002</v>
      </c>
      <c r="B23" s="6" t="s">
        <v>48</v>
      </c>
      <c r="C23" s="6" t="s">
        <v>49</v>
      </c>
      <c r="D23" s="6" t="s">
        <v>13</v>
      </c>
      <c r="L23" t="str">
        <f t="shared" si="0"/>
        <v>XIX</v>
      </c>
    </row>
    <row r="24" spans="1:12" ht="15" thickBot="1" x14ac:dyDescent="0.35">
      <c r="A24" s="6">
        <v>2006</v>
      </c>
      <c r="B24" s="6" t="s">
        <v>50</v>
      </c>
      <c r="C24" s="6" t="s">
        <v>51</v>
      </c>
      <c r="D24" s="6" t="s">
        <v>19</v>
      </c>
      <c r="L24" t="str">
        <f t="shared" si="0"/>
        <v>XX</v>
      </c>
    </row>
    <row r="25" spans="1:12" ht="15" thickBot="1" x14ac:dyDescent="0.35">
      <c r="A25" s="6">
        <v>2010</v>
      </c>
      <c r="B25" s="6" t="s">
        <v>52</v>
      </c>
      <c r="C25" s="6" t="s">
        <v>53</v>
      </c>
      <c r="D25" s="6" t="s">
        <v>41</v>
      </c>
      <c r="L25" t="str">
        <f t="shared" si="0"/>
        <v>XXI</v>
      </c>
    </row>
    <row r="26" spans="1:12" ht="15" thickBot="1" x14ac:dyDescent="0.35">
      <c r="A26" s="6">
        <v>2014</v>
      </c>
      <c r="B26" s="6" t="s">
        <v>54</v>
      </c>
      <c r="C26" s="6" t="s">
        <v>55</v>
      </c>
      <c r="D26" s="6" t="s">
        <v>56</v>
      </c>
      <c r="L26" t="str">
        <f t="shared" si="0"/>
        <v>XXII</v>
      </c>
    </row>
    <row r="27" spans="1:12" ht="15" thickBot="1" x14ac:dyDescent="0.35">
      <c r="A27" s="6">
        <v>2018</v>
      </c>
      <c r="B27" s="6" t="s">
        <v>57</v>
      </c>
      <c r="C27" s="6" t="s">
        <v>58</v>
      </c>
      <c r="D27" s="6" t="s">
        <v>59</v>
      </c>
      <c r="L27" t="str">
        <f t="shared" si="0"/>
        <v>XXIII</v>
      </c>
    </row>
    <row r="28" spans="1:12" ht="15" thickBot="1" x14ac:dyDescent="0.35">
      <c r="A28" s="6">
        <v>2022</v>
      </c>
      <c r="B28" s="6" t="s">
        <v>60</v>
      </c>
      <c r="C28" s="6" t="s">
        <v>61</v>
      </c>
      <c r="D28" s="6" t="s">
        <v>62</v>
      </c>
      <c r="L28" t="str">
        <f t="shared" si="0"/>
        <v>XXIV</v>
      </c>
    </row>
    <row r="29" spans="1:12" ht="15" thickBot="1" x14ac:dyDescent="0.35">
      <c r="A29" s="6">
        <v>2026</v>
      </c>
      <c r="B29" s="6" t="s">
        <v>63</v>
      </c>
      <c r="C29" s="6" t="s">
        <v>64</v>
      </c>
      <c r="D29" s="6" t="s">
        <v>19</v>
      </c>
      <c r="L29" t="str">
        <f t="shared" si="0"/>
        <v>XXV</v>
      </c>
    </row>
  </sheetData>
  <mergeCells count="5">
    <mergeCell ref="A1:A2"/>
    <mergeCell ref="B1:B2"/>
    <mergeCell ref="C1:D1"/>
    <mergeCell ref="L1:L2"/>
    <mergeCell ref="I5:I8"/>
  </mergeCells>
  <conditionalFormatting sqref="A3:D29 F4:F5">
    <cfRule type="expression" dxfId="0" priority="1">
      <formula>IF(LEFT($B3,FIND(".",$B3)-1)  = LEFT($B4,FIND(".",$B4)-1),TRUE,FALSE)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8"/>
  <sheetViews>
    <sheetView zoomScale="85" zoomScaleNormal="85" workbookViewId="0">
      <selection activeCell="C15" sqref="C15"/>
    </sheetView>
  </sheetViews>
  <sheetFormatPr defaultRowHeight="14.4" x14ac:dyDescent="0.3"/>
  <cols>
    <col min="1" max="1" width="10.33203125" bestFit="1" customWidth="1"/>
    <col min="2" max="2" width="18.5546875" bestFit="1" customWidth="1"/>
    <col min="3" max="3" width="13.109375" bestFit="1" customWidth="1"/>
    <col min="4" max="4" width="42.109375" bestFit="1" customWidth="1"/>
    <col min="5" max="5" width="14.44140625" bestFit="1" customWidth="1"/>
    <col min="6" max="6" width="33.5546875" bestFit="1" customWidth="1"/>
    <col min="7" max="7" width="8.88671875" bestFit="1" customWidth="1"/>
    <col min="8" max="8" width="6.44140625" bestFit="1" customWidth="1"/>
    <col min="9" max="9" width="6.109375" bestFit="1" customWidth="1"/>
    <col min="10" max="10" width="4.109375" bestFit="1" customWidth="1"/>
    <col min="12" max="12" width="16.44140625" bestFit="1" customWidth="1"/>
    <col min="13" max="13" width="17.109375" bestFit="1" customWidth="1"/>
    <col min="15" max="15" width="12.6640625" bestFit="1" customWidth="1"/>
    <col min="17" max="17" width="16.44140625" bestFit="1" customWidth="1"/>
    <col min="18" max="18" width="8.88671875" bestFit="1" customWidth="1"/>
  </cols>
  <sheetData>
    <row r="1" spans="1:13" ht="15" thickBot="1" x14ac:dyDescent="0.35">
      <c r="A1" s="26" t="s">
        <v>136</v>
      </c>
      <c r="B1" s="26" t="s">
        <v>137</v>
      </c>
      <c r="C1" s="26"/>
      <c r="D1" s="26" t="s">
        <v>138</v>
      </c>
      <c r="E1" s="26"/>
      <c r="F1" s="26" t="s">
        <v>139</v>
      </c>
      <c r="G1" s="26" t="s">
        <v>140</v>
      </c>
      <c r="H1" s="26" t="s">
        <v>141</v>
      </c>
      <c r="I1" s="26"/>
      <c r="J1" s="26"/>
    </row>
    <row r="2" spans="1:13" ht="15" thickBot="1" x14ac:dyDescent="0.35">
      <c r="A2" s="26"/>
      <c r="B2" s="4" t="s">
        <v>142</v>
      </c>
      <c r="C2" s="4" t="s">
        <v>143</v>
      </c>
      <c r="D2" s="4" t="s">
        <v>144</v>
      </c>
      <c r="E2" s="4" t="s">
        <v>134</v>
      </c>
      <c r="F2" s="26"/>
      <c r="G2" s="26"/>
      <c r="H2" s="4" t="s">
        <v>145</v>
      </c>
      <c r="I2" s="4" t="s">
        <v>146</v>
      </c>
      <c r="J2" s="4" t="s">
        <v>147</v>
      </c>
    </row>
    <row r="3" spans="1:13" ht="15" thickBot="1" x14ac:dyDescent="0.35">
      <c r="A3" s="5">
        <v>27826</v>
      </c>
      <c r="B3" s="6" t="s">
        <v>148</v>
      </c>
      <c r="C3" s="6" t="s">
        <v>28</v>
      </c>
      <c r="D3" s="6" t="s">
        <v>149</v>
      </c>
      <c r="E3" s="6" t="s">
        <v>150</v>
      </c>
      <c r="F3" s="6" t="s">
        <v>151</v>
      </c>
      <c r="G3" s="6" t="s">
        <v>152</v>
      </c>
      <c r="H3" s="6">
        <v>176</v>
      </c>
      <c r="I3" s="6">
        <v>192.5</v>
      </c>
      <c r="J3" s="6">
        <v>577</v>
      </c>
    </row>
    <row r="4" spans="1:13" ht="15" thickBot="1" x14ac:dyDescent="0.35">
      <c r="A4" s="5">
        <v>35819</v>
      </c>
      <c r="B4" s="6" t="s">
        <v>153</v>
      </c>
      <c r="C4" s="6" t="s">
        <v>33</v>
      </c>
      <c r="D4" s="6" t="s">
        <v>154</v>
      </c>
      <c r="E4" s="6" t="s">
        <v>150</v>
      </c>
      <c r="F4" s="6" t="s">
        <v>155</v>
      </c>
      <c r="G4" s="6" t="s">
        <v>156</v>
      </c>
      <c r="H4" s="6">
        <v>187.5</v>
      </c>
      <c r="I4" s="6">
        <v>205</v>
      </c>
      <c r="J4" s="6">
        <v>615</v>
      </c>
    </row>
    <row r="5" spans="1:13" ht="15" thickBot="1" x14ac:dyDescent="0.35">
      <c r="A5" s="5">
        <v>35820</v>
      </c>
      <c r="B5" s="6" t="s">
        <v>153</v>
      </c>
      <c r="C5" s="6" t="s">
        <v>33</v>
      </c>
      <c r="D5" s="6" t="s">
        <v>154</v>
      </c>
      <c r="E5" s="6" t="s">
        <v>150</v>
      </c>
      <c r="F5" s="6" t="s">
        <v>155</v>
      </c>
      <c r="G5" s="6" t="s">
        <v>152</v>
      </c>
      <c r="H5" s="6">
        <v>205.5</v>
      </c>
      <c r="I5" s="6">
        <v>224.7</v>
      </c>
      <c r="J5" s="6">
        <v>674</v>
      </c>
    </row>
    <row r="6" spans="1:13" ht="15" thickBot="1" x14ac:dyDescent="0.35">
      <c r="A6" s="5">
        <v>35841</v>
      </c>
      <c r="B6" s="6" t="s">
        <v>153</v>
      </c>
      <c r="C6" s="6" t="s">
        <v>33</v>
      </c>
      <c r="D6" s="6" t="s">
        <v>157</v>
      </c>
      <c r="E6" s="6" t="s">
        <v>47</v>
      </c>
      <c r="F6" s="6" t="s">
        <v>158</v>
      </c>
      <c r="G6" s="6" t="s">
        <v>152</v>
      </c>
      <c r="H6" s="6">
        <v>132.5</v>
      </c>
      <c r="I6" s="6">
        <v>149.9</v>
      </c>
      <c r="J6" s="6">
        <v>438</v>
      </c>
    </row>
    <row r="7" spans="1:13" ht="15" thickBot="1" x14ac:dyDescent="0.35">
      <c r="A7" s="5">
        <v>36177</v>
      </c>
      <c r="B7" s="6" t="s">
        <v>153</v>
      </c>
      <c r="C7" s="6" t="s">
        <v>33</v>
      </c>
      <c r="D7" s="6" t="s">
        <v>159</v>
      </c>
      <c r="E7" s="6" t="s">
        <v>160</v>
      </c>
      <c r="F7" s="6" t="s">
        <v>161</v>
      </c>
      <c r="G7" s="6" t="s">
        <v>156</v>
      </c>
      <c r="H7" s="6">
        <v>119</v>
      </c>
      <c r="I7" s="6">
        <v>130.1</v>
      </c>
      <c r="J7" s="6">
        <v>390</v>
      </c>
    </row>
    <row r="8" spans="1:13" ht="15" thickBot="1" x14ac:dyDescent="0.35">
      <c r="A8" s="5">
        <v>37660</v>
      </c>
      <c r="B8" s="6" t="s">
        <v>162</v>
      </c>
      <c r="C8" s="6" t="s">
        <v>16</v>
      </c>
      <c r="D8" s="6" t="s">
        <v>163</v>
      </c>
      <c r="E8" s="6" t="s">
        <v>164</v>
      </c>
      <c r="F8" s="6" t="s">
        <v>161</v>
      </c>
      <c r="G8" s="6" t="s">
        <v>152</v>
      </c>
      <c r="H8" s="6">
        <v>142</v>
      </c>
      <c r="I8" s="6">
        <v>155.30000000000001</v>
      </c>
      <c r="J8" s="6">
        <v>466</v>
      </c>
    </row>
    <row r="9" spans="1:13" ht="15" thickBot="1" x14ac:dyDescent="0.35">
      <c r="A9" s="5">
        <v>37660</v>
      </c>
      <c r="B9" s="6" t="s">
        <v>165</v>
      </c>
      <c r="C9" s="6" t="s">
        <v>33</v>
      </c>
      <c r="D9" s="6" t="s">
        <v>163</v>
      </c>
      <c r="E9" s="6" t="s">
        <v>164</v>
      </c>
      <c r="F9" s="6" t="s">
        <v>161</v>
      </c>
      <c r="G9" s="6" t="s">
        <v>166</v>
      </c>
      <c r="H9" s="6">
        <v>135.5</v>
      </c>
      <c r="I9" s="6">
        <v>148.19999999999999</v>
      </c>
      <c r="J9" s="6">
        <v>445</v>
      </c>
    </row>
    <row r="10" spans="1:13" ht="15" thickBot="1" x14ac:dyDescent="0.35">
      <c r="A10" s="5">
        <v>39819</v>
      </c>
      <c r="B10" s="6" t="s">
        <v>167</v>
      </c>
      <c r="C10" s="6" t="s">
        <v>28</v>
      </c>
      <c r="D10" s="6" t="s">
        <v>168</v>
      </c>
      <c r="E10" s="6" t="s">
        <v>169</v>
      </c>
      <c r="F10" s="6" t="s">
        <v>170</v>
      </c>
      <c r="G10" s="6" t="s">
        <v>152</v>
      </c>
      <c r="H10" s="6">
        <v>142.5</v>
      </c>
      <c r="I10" s="6">
        <v>155.80000000000001</v>
      </c>
      <c r="J10" s="6">
        <v>468</v>
      </c>
    </row>
    <row r="11" spans="1:13" ht="15" thickBot="1" x14ac:dyDescent="0.35">
      <c r="A11" s="5">
        <v>42083</v>
      </c>
      <c r="B11" s="6" t="s">
        <v>171</v>
      </c>
      <c r="C11" s="6" t="s">
        <v>125</v>
      </c>
      <c r="D11" s="6" t="s">
        <v>172</v>
      </c>
      <c r="E11" s="6" t="s">
        <v>173</v>
      </c>
      <c r="F11" s="6" t="s">
        <v>161</v>
      </c>
      <c r="G11" s="6" t="s">
        <v>152</v>
      </c>
      <c r="H11" s="6">
        <v>233</v>
      </c>
      <c r="I11" s="6">
        <v>254.8</v>
      </c>
      <c r="J11" s="6">
        <v>764</v>
      </c>
    </row>
    <row r="12" spans="1:13" ht="15" thickBot="1" x14ac:dyDescent="0.35">
      <c r="A12" s="5">
        <v>42085</v>
      </c>
      <c r="B12" s="6" t="s">
        <v>174</v>
      </c>
      <c r="C12" s="6" t="s">
        <v>125</v>
      </c>
      <c r="D12" s="6" t="s">
        <v>172</v>
      </c>
      <c r="E12" s="6" t="s">
        <v>173</v>
      </c>
      <c r="F12" s="6" t="s">
        <v>161</v>
      </c>
      <c r="G12" s="6" t="s">
        <v>152</v>
      </c>
      <c r="H12" s="6">
        <v>244</v>
      </c>
      <c r="I12" s="6">
        <v>266.8</v>
      </c>
      <c r="J12" s="6">
        <v>801</v>
      </c>
    </row>
    <row r="13" spans="1:13" ht="15" thickBot="1" x14ac:dyDescent="0.35"/>
    <row r="14" spans="1:13" ht="30" customHeight="1" thickBot="1" x14ac:dyDescent="0.35">
      <c r="A14" s="30" t="s">
        <v>175</v>
      </c>
      <c r="B14" s="30"/>
      <c r="C14" s="7">
        <f>COUNTIF(G3:G12,"1.")</f>
        <v>7</v>
      </c>
      <c r="L14" s="22" t="s">
        <v>178</v>
      </c>
      <c r="M14" s="22"/>
    </row>
    <row r="15" spans="1:13" ht="28.5" customHeight="1" thickBot="1" x14ac:dyDescent="0.35">
      <c r="A15" s="30" t="s">
        <v>176</v>
      </c>
      <c r="B15" s="30"/>
      <c r="C15" s="7" t="str">
        <f>IF(COUNTIF(G3:G12,"1.") = 0,"nem volt",IF(COUNTIF(F3:F12,"olimpiai játékok") &gt;1,"több ilyen volt",IFERROR(LEFT(IF(COUNTIF(helyszínek!A3:A29,YEAR(DGET(A1:J12,A1,_xlnm.Criteria))) = 0,"nem volt",INDEX(helyszínek!B3:B29,MATCH(YEAR(DGET(A1:J12,A1,_xlnm.Criteria)),helyszínek!A3:A29,0))),FIND(".",IF(COUNTIF(helyszínek!A3:A29,YEAR(DGET(A1:J12,A1,_xlnm.Criteria))) = 0,"nem volt",INDEX(helyszínek!B3:B29,MATCH(YEAR(DGET(A1:J12,A1,_xlnm.Criteria)),helyszínek!A3:A29,0))))-1),"nem volt")))</f>
        <v>XVIII</v>
      </c>
      <c r="L15" s="22" t="s">
        <v>139</v>
      </c>
      <c r="M15" s="22" t="s">
        <v>140</v>
      </c>
    </row>
    <row r="16" spans="1:13" x14ac:dyDescent="0.3">
      <c r="L16" s="22" t="s">
        <v>158</v>
      </c>
      <c r="M16" s="22" t="s">
        <v>152</v>
      </c>
    </row>
    <row r="18" spans="2:21" x14ac:dyDescent="0.3">
      <c r="L18" s="18"/>
      <c r="M18" s="24"/>
      <c r="N18" s="24"/>
      <c r="O18" s="24"/>
      <c r="P18" s="24"/>
      <c r="Q18" s="18"/>
      <c r="R18" s="18"/>
      <c r="S18" s="24"/>
      <c r="T18" s="24"/>
      <c r="U18" s="24"/>
    </row>
    <row r="19" spans="2:21" x14ac:dyDescent="0.3">
      <c r="C19" s="3"/>
      <c r="L19" s="21"/>
      <c r="M19" s="17"/>
      <c r="N19" s="17"/>
      <c r="O19" s="17"/>
      <c r="P19" s="17"/>
      <c r="Q19" s="17"/>
      <c r="R19" s="17"/>
      <c r="S19" s="17"/>
      <c r="T19" s="17"/>
      <c r="U19" s="17"/>
    </row>
    <row r="20" spans="2:21" x14ac:dyDescent="0.3">
      <c r="L20" s="17"/>
      <c r="M20" s="17"/>
      <c r="N20" s="17"/>
      <c r="O20" s="17"/>
      <c r="P20" s="17"/>
      <c r="Q20" s="17"/>
      <c r="R20" s="17"/>
    </row>
    <row r="21" spans="2:21" x14ac:dyDescent="0.3">
      <c r="L21" s="17"/>
      <c r="M21" s="17"/>
      <c r="N21" s="17"/>
      <c r="O21" s="17"/>
      <c r="P21" s="17"/>
      <c r="Q21" s="17"/>
      <c r="R21" s="17"/>
    </row>
    <row r="22" spans="2:21" x14ac:dyDescent="0.3">
      <c r="L22" s="17"/>
      <c r="M22" s="17"/>
      <c r="N22" s="17"/>
      <c r="O22" s="17"/>
      <c r="P22" s="17"/>
      <c r="Q22" s="17"/>
      <c r="R22" s="17"/>
    </row>
    <row r="23" spans="2:21" x14ac:dyDescent="0.3">
      <c r="L23" s="17"/>
      <c r="M23" s="17"/>
      <c r="N23" s="17"/>
      <c r="O23" s="17"/>
      <c r="P23" s="17"/>
      <c r="Q23" s="17"/>
      <c r="R23" s="17"/>
    </row>
    <row r="24" spans="2:21" x14ac:dyDescent="0.3">
      <c r="L24" s="17"/>
      <c r="M24" s="17"/>
      <c r="N24" s="17"/>
      <c r="O24" s="17"/>
      <c r="P24" s="17"/>
      <c r="Q24" s="17"/>
      <c r="R24" s="17"/>
    </row>
    <row r="25" spans="2:21" x14ac:dyDescent="0.3">
      <c r="L25" s="17"/>
      <c r="M25" s="17"/>
      <c r="N25" s="17"/>
      <c r="O25" s="17"/>
      <c r="P25" s="17"/>
      <c r="Q25" s="17"/>
      <c r="R25" s="17"/>
    </row>
    <row r="26" spans="2:21" x14ac:dyDescent="0.3">
      <c r="B26" s="29"/>
      <c r="C26" s="29"/>
      <c r="D26" s="29"/>
      <c r="E26" s="29"/>
      <c r="F26" s="1"/>
      <c r="G26" s="2"/>
      <c r="H26" s="23"/>
      <c r="I26" s="23"/>
      <c r="J26" s="23"/>
    </row>
    <row r="59" spans="2:2" x14ac:dyDescent="0.3">
      <c r="B59" s="20"/>
    </row>
    <row r="60" spans="2:2" x14ac:dyDescent="0.3">
      <c r="B60" s="20"/>
    </row>
    <row r="61" spans="2:2" x14ac:dyDescent="0.3">
      <c r="B61" s="20"/>
    </row>
    <row r="62" spans="2:2" x14ac:dyDescent="0.3">
      <c r="B62" s="20"/>
    </row>
    <row r="63" spans="2:2" x14ac:dyDescent="0.3">
      <c r="B63" s="20"/>
    </row>
    <row r="64" spans="2:2" x14ac:dyDescent="0.3">
      <c r="B64" s="20"/>
    </row>
    <row r="65" spans="2:2" x14ac:dyDescent="0.3">
      <c r="B65" s="20"/>
    </row>
    <row r="66" spans="2:2" x14ac:dyDescent="0.3">
      <c r="B66" s="20"/>
    </row>
    <row r="67" spans="2:2" x14ac:dyDescent="0.3">
      <c r="B67" s="20"/>
    </row>
    <row r="68" spans="2:2" x14ac:dyDescent="0.3">
      <c r="B68" s="20"/>
    </row>
  </sheetData>
  <mergeCells count="10">
    <mergeCell ref="H1:J1"/>
    <mergeCell ref="F1:F2"/>
    <mergeCell ref="G1:G2"/>
    <mergeCell ref="A1:A2"/>
    <mergeCell ref="A14:B14"/>
    <mergeCell ref="B26:C26"/>
    <mergeCell ref="D26:E26"/>
    <mergeCell ref="A15:B15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Munkalapok</vt:lpstr>
      </vt:variant>
      <vt:variant>
        <vt:i4>3</vt:i4>
      </vt:variant>
      <vt:variant>
        <vt:lpstr>Diagramok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6" baseType="lpstr">
      <vt:lpstr>nemzetenként</vt:lpstr>
      <vt:lpstr>helyszínek</vt:lpstr>
      <vt:lpstr>síugrás</vt:lpstr>
      <vt:lpstr>részvétel</vt:lpstr>
      <vt:lpstr>síugrás!Feltetelek</vt:lpstr>
      <vt:lpstr>síugrás!Kigyűjtés</vt:lpstr>
    </vt:vector>
  </TitlesOfParts>
  <Company>Krúdy Gyula Középiskola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Gyulai Balázs</dc:creator>
  <cp:lastModifiedBy>Us er</cp:lastModifiedBy>
  <dcterms:created xsi:type="dcterms:W3CDTF">2022-01-29T09:03:48Z</dcterms:created>
  <dcterms:modified xsi:type="dcterms:W3CDTF">2022-01-31T13:56:10Z</dcterms:modified>
</cp:coreProperties>
</file>